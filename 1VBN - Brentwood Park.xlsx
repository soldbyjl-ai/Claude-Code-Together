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612" yWindow="-108" windowWidth="30936" windowHeight="16776" tabRatio="600" firstSheet="0" activeTab="1" autoFilterDateGrouping="1"/>
  </bookViews>
  <sheets>
    <sheet name="A.S.PRINTOUT" sheetId="1" state="visible" r:id="rId1"/>
    <sheet name="E.DETACHED" sheetId="2" state="visible" r:id="rId2"/>
    <sheet name="E.ATTACHED" sheetId="3" state="visible" r:id="rId3"/>
    <sheet name="PROSPECTS" sheetId="4" state="visible" r:id="rId4"/>
    <sheet name="PRIN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_);[Red]\(&quot;$&quot;#,##0\)"/>
    <numFmt numFmtId="166" formatCode="&quot;$&quot;#,##0;[Red]\-&quot;$&quot;#,##0"/>
    <numFmt numFmtId="167" formatCode="[$-F800]dddd\,\ mmmm\ dd\,\ yyyy"/>
    <numFmt numFmtId="168" formatCode="yyyy-mm-dd h:mm:ss"/>
  </numFmts>
  <fonts count="4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1"/>
      <sz val="6"/>
      <u val="single"/>
    </font>
    <font>
      <name val="Calibri"/>
      <family val="2"/>
      <color rgb="FF0A0A0A"/>
      <sz val="8"/>
    </font>
    <font>
      <name val="Calibri"/>
      <family val="2"/>
      <color theme="1"/>
      <sz val="11"/>
    </font>
    <font>
      <name val="Tahoma"/>
      <family val="2"/>
      <b val="1"/>
      <color rgb="FF000000"/>
      <sz val="11"/>
    </font>
    <font>
      <name val="Calibri"/>
      <family val="2"/>
      <color rgb="FF000000"/>
      <sz val="11"/>
    </font>
    <font>
      <name val="Tahoma"/>
      <family val="2"/>
      <b val="1"/>
      <color theme="1"/>
      <sz val="11"/>
      <u val="single"/>
    </font>
    <font>
      <name val="Calibri"/>
      <family val="2"/>
      <color rgb="FFFF0000"/>
      <sz val="11"/>
    </font>
    <font>
      <name val="Calibri"/>
      <family val="2"/>
      <color theme="1"/>
      <sz val="11"/>
      <scheme val="minor"/>
    </font>
    <font>
      <name val="Tahoma"/>
      <family val="2"/>
      <b val="1"/>
      <color rgb="FF000000"/>
      <sz val="8"/>
    </font>
    <font>
      <name val="Tahoma"/>
      <family val="2"/>
      <b val="1"/>
      <color theme="1"/>
      <sz val="11"/>
      <u val="single"/>
    </font>
    <font>
      <name val="Arimo"/>
      <b val="1"/>
      <color rgb="FF0A0A0A"/>
      <sz val="10"/>
    </font>
    <font>
      <name val="Calibri"/>
      <family val="2"/>
      <b val="1"/>
      <color theme="1"/>
      <sz val="11"/>
      <u val="single"/>
    </font>
    <font>
      <name val="Calibri"/>
      <family val="2"/>
      <b val="1"/>
      <color rgb="FF0A0A0A"/>
      <sz val="11"/>
    </font>
    <font>
      <name val="Calibri"/>
      <family val="2"/>
      <color theme="10"/>
      <sz val="11"/>
      <u val="single"/>
    </font>
    <font>
      <name val="Calibri"/>
      <family val="2"/>
      <b val="1"/>
      <i val="1"/>
      <color theme="1"/>
      <sz val="9"/>
    </font>
    <font>
      <name val="Calibri"/>
      <family val="2"/>
      <color theme="10"/>
      <sz val="11"/>
    </font>
    <font>
      <name val="Calibri"/>
      <family val="2"/>
      <color theme="10"/>
      <sz val="11"/>
      <u val="single"/>
    </font>
    <font>
      <name val="Calibri"/>
      <family val="2"/>
      <i val="1"/>
      <color theme="1"/>
      <sz val="11"/>
    </font>
    <font>
      <name val="Tahoma"/>
      <family val="2"/>
      <color rgb="FF000000"/>
      <sz val="10"/>
    </font>
    <font>
      <name val="Tahoma"/>
      <family val="2"/>
      <b val="1"/>
      <color theme="1"/>
      <sz val="8"/>
    </font>
    <font>
      <name val="Tahoma"/>
      <family val="2"/>
      <b val="1"/>
      <color theme="1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1"/>
      <sz val="11"/>
      <u val="single"/>
    </font>
    <font>
      <name val="Calibri"/>
      <family val="2"/>
      <color rgb="FF1A1918"/>
      <sz val="11"/>
    </font>
    <font>
      <name val="Calibri"/>
      <family val="2"/>
      <strike val="1"/>
      <color theme="1"/>
      <sz val="11"/>
    </font>
    <font>
      <name val="Calibri"/>
      <family val="2"/>
      <strike val="1"/>
      <color theme="10"/>
      <sz val="11"/>
      <u val="single"/>
    </font>
    <font>
      <name val="Calibri"/>
      <family val="2"/>
      <strike val="1"/>
      <color theme="10"/>
      <sz val="11"/>
      <u val="single"/>
    </font>
    <font>
      <name val="Calibri"/>
      <family val="2"/>
      <b val="1"/>
      <color theme="1"/>
      <sz val="11"/>
      <u val="single"/>
    </font>
    <font>
      <name val="Calibri"/>
      <color theme="10"/>
      <sz val="11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ajor"/>
    </font>
    <font>
      <name val="Calibri"/>
      <family val="2"/>
      <b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7"/>
        <bgColor theme="7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B05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1"/>
    <xf numFmtId="0" fontId="36" fillId="0" borderId="1"/>
  </cellStyleXfs>
  <cellXfs count="132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3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3" fontId="4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65" fontId="8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14" fontId="8" fillId="0" borderId="0" pivotButton="0" quotePrefix="0" xfId="0"/>
    <xf numFmtId="0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166" fontId="10" fillId="0" borderId="0" pivotButton="0" quotePrefix="0" xfId="0"/>
    <xf numFmtId="14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11" fillId="0" borderId="0" pivotButton="0" quotePrefix="0" xfId="0"/>
    <xf numFmtId="164" fontId="8" fillId="0" borderId="0" applyAlignment="1" pivotButton="0" quotePrefix="0" xfId="0">
      <alignment horizontal="right"/>
    </xf>
    <xf numFmtId="164" fontId="4" fillId="0" borderId="4" applyAlignment="1" pivotButton="0" quotePrefix="0" xfId="0">
      <alignment horizontal="center"/>
    </xf>
    <xf numFmtId="0" fontId="4" fillId="4" borderId="1" pivotButton="0" quotePrefix="0" xfId="0"/>
    <xf numFmtId="0" fontId="1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3" fillId="0" borderId="0" pivotButton="0" quotePrefix="0" xfId="0"/>
    <xf numFmtId="0" fontId="10" fillId="0" borderId="0" pivotButton="0" quotePrefix="0" xfId="0"/>
    <xf numFmtId="0" fontId="14" fillId="0" borderId="0" pivotButton="0" quotePrefix="0" xfId="0"/>
    <xf numFmtId="3" fontId="8" fillId="0" borderId="0" applyAlignment="1" pivotButton="0" quotePrefix="0" xfId="0">
      <alignment horizontal="right"/>
    </xf>
    <xf numFmtId="0" fontId="15" fillId="5" borderId="1" pivotButton="0" quotePrefix="0" xfId="0"/>
    <xf numFmtId="0" fontId="1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/>
    </xf>
    <xf numFmtId="164" fontId="8" fillId="0" borderId="0" pivotButton="0" quotePrefix="0" xfId="0"/>
    <xf numFmtId="1" fontId="8" fillId="0" borderId="0" pivotButton="0" quotePrefix="0" xfId="0"/>
    <xf numFmtId="0" fontId="10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4" fontId="8" fillId="0" borderId="0" applyAlignment="1" pivotButton="0" quotePrefix="0" xfId="0">
      <alignment horizontal="right"/>
    </xf>
    <xf numFmtId="0" fontId="17" fillId="0" borderId="0" pivotButton="0" quotePrefix="0" xfId="0"/>
    <xf numFmtId="167" fontId="8" fillId="0" borderId="0" pivotButton="0" quotePrefix="0" xfId="0"/>
    <xf numFmtId="0" fontId="4" fillId="5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/>
    </xf>
    <xf numFmtId="0" fontId="8" fillId="5" borderId="1" pivotButton="0" quotePrefix="0" xfId="0"/>
    <xf numFmtId="0" fontId="19" fillId="0" borderId="0" pivotButton="0" quotePrefix="0" xfId="0"/>
    <xf numFmtId="167" fontId="20" fillId="0" borderId="0" applyAlignment="1" pivotButton="0" quotePrefix="0" xfId="0">
      <alignment horizontal="center"/>
    </xf>
    <xf numFmtId="0" fontId="21" fillId="0" borderId="0" pivotButton="0" quotePrefix="0" xfId="0"/>
    <xf numFmtId="0" fontId="7" fillId="2" borderId="1" applyAlignment="1" pivotButton="0" quotePrefix="0" xfId="0">
      <alignment horizontal="center"/>
    </xf>
    <xf numFmtId="0" fontId="10" fillId="2" borderId="1" pivotButton="0" quotePrefix="0" xfId="0"/>
    <xf numFmtId="0" fontId="10" fillId="2" borderId="1" applyAlignment="1" pivotButton="0" quotePrefix="0" xfId="0">
      <alignment horizontal="center"/>
    </xf>
    <xf numFmtId="166" fontId="10" fillId="2" borderId="1" pivotButton="0" quotePrefix="0" xfId="0"/>
    <xf numFmtId="0" fontId="8" fillId="2" borderId="1" pivotButton="0" quotePrefix="0" xfId="0"/>
    <xf numFmtId="0" fontId="8" fillId="2" borderId="1" applyAlignment="1" pivotButton="0" quotePrefix="0" xfId="0">
      <alignment horizontal="center"/>
    </xf>
    <xf numFmtId="0" fontId="21" fillId="2" borderId="1" pivotButton="0" quotePrefix="0" xfId="0"/>
    <xf numFmtId="14" fontId="8" fillId="0" borderId="0" applyAlignment="1" pivotButton="0" quotePrefix="0" xfId="0">
      <alignment horizontal="left"/>
    </xf>
    <xf numFmtId="165" fontId="8" fillId="2" borderId="1" pivotButton="0" quotePrefix="0" xfId="0"/>
    <xf numFmtId="0" fontId="22" fillId="2" borderId="1" pivotButton="0" quotePrefix="0" xfId="0"/>
    <xf numFmtId="0" fontId="2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6" fontId="14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2" applyAlignment="1" pivotButton="0" quotePrefix="0" xfId="0">
      <alignment horizontal="center"/>
    </xf>
    <xf numFmtId="0" fontId="28" fillId="0" borderId="3" pivotButton="0" quotePrefix="0" xfId="0"/>
    <xf numFmtId="0" fontId="29" fillId="0" borderId="4" applyAlignment="1" pivotButton="0" quotePrefix="0" xfId="0">
      <alignment horizontal="center"/>
    </xf>
    <xf numFmtId="0" fontId="30" fillId="0" borderId="3" applyAlignment="1" pivotButton="0" quotePrefix="0" xfId="0">
      <alignment horizontal="center"/>
    </xf>
    <xf numFmtId="14" fontId="8" fillId="2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21" fillId="6" borderId="1" pivotButton="0" quotePrefix="0" xfId="0"/>
    <xf numFmtId="0" fontId="10" fillId="6" borderId="1" pivotButton="0" quotePrefix="0" xfId="0"/>
    <xf numFmtId="0" fontId="8" fillId="6" borderId="1" pivotButton="0" quotePrefix="0" xfId="0"/>
    <xf numFmtId="166" fontId="10" fillId="6" borderId="1" pivotButton="0" quotePrefix="0" xfId="0"/>
    <xf numFmtId="0" fontId="31" fillId="0" borderId="0" pivotButton="0" quotePrefix="0" xfId="0"/>
    <xf numFmtId="166" fontId="10" fillId="0" borderId="0" applyAlignment="1" pivotButton="0" quotePrefix="0" xfId="0">
      <alignment horizontal="right" vertical="top"/>
    </xf>
    <xf numFmtId="14" fontId="32" fillId="0" borderId="0" applyAlignment="1" pivotButton="0" quotePrefix="0" xfId="0">
      <alignment horizontal="center"/>
    </xf>
    <xf numFmtId="0" fontId="33" fillId="0" borderId="0" pivotButton="0" quotePrefix="0" xfId="0"/>
    <xf numFmtId="0" fontId="32" fillId="0" borderId="0" pivotButton="0" quotePrefix="0" xfId="0"/>
    <xf numFmtId="165" fontId="32" fillId="0" borderId="0" pivotButton="0" quotePrefix="0" xfId="0"/>
    <xf numFmtId="0" fontId="32" fillId="0" borderId="0" applyAlignment="1" pivotButton="0" quotePrefix="0" xfId="0">
      <alignment horizontal="center"/>
    </xf>
    <xf numFmtId="14" fontId="32" fillId="2" borderId="1" applyAlignment="1" pivotButton="0" quotePrefix="0" xfId="0">
      <alignment horizontal="center"/>
    </xf>
    <xf numFmtId="0" fontId="34" fillId="2" borderId="1" pivotButton="0" quotePrefix="0" xfId="0"/>
    <xf numFmtId="0" fontId="32" fillId="2" borderId="1" pivotButton="0" quotePrefix="0" xfId="0"/>
    <xf numFmtId="165" fontId="32" fillId="2" borderId="1" pivotButton="0" quotePrefix="0" xfId="0"/>
    <xf numFmtId="0" fontId="32" fillId="2" borderId="1" applyAlignment="1" pivotButton="0" quotePrefix="0" xfId="0">
      <alignment horizontal="center"/>
    </xf>
    <xf numFmtId="0" fontId="35" fillId="0" borderId="2" pivotButton="0" quotePrefix="0" xfId="0"/>
    <xf numFmtId="14" fontId="0" fillId="0" borderId="0" pivotButton="0" quotePrefix="0" xfId="0"/>
    <xf numFmtId="165" fontId="0" fillId="0" borderId="0" pivotButton="0" quotePrefix="0" xfId="0"/>
    <xf numFmtId="0" fontId="36" fillId="0" borderId="0" pivotButton="0" quotePrefix="0" xfId="1"/>
    <xf numFmtId="0" fontId="3" fillId="0" borderId="0" pivotButton="0" quotePrefix="0" xfId="0"/>
    <xf numFmtId="0" fontId="37" fillId="0" borderId="0" pivotButton="0" quotePrefix="0" xfId="1"/>
    <xf numFmtId="0" fontId="38" fillId="0" borderId="0" pivotButton="0" quotePrefix="0" xfId="0"/>
    <xf numFmtId="0" fontId="8" fillId="4" borderId="1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4" fillId="2" borderId="6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39" fillId="7" borderId="5" pivotButton="0" quotePrefix="0" xfId="0"/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165" fontId="8" fillId="0" borderId="0" pivotButton="0" quotePrefix="0" xfId="0"/>
    <xf numFmtId="165" fontId="0" fillId="0" borderId="0" pivotButton="0" quotePrefix="0" xfId="0"/>
    <xf numFmtId="166" fontId="10" fillId="0" borderId="0" pivotButton="0" quotePrefix="0" xfId="0"/>
    <xf numFmtId="164" fontId="8" fillId="0" borderId="0" applyAlignment="1" pivotButton="0" quotePrefix="0" xfId="0">
      <alignment horizontal="right"/>
    </xf>
    <xf numFmtId="164" fontId="4" fillId="0" borderId="4" applyAlignment="1" pivotButton="0" quotePrefix="0" xfId="0">
      <alignment horizontal="center"/>
    </xf>
    <xf numFmtId="164" fontId="8" fillId="0" borderId="0" pivotButton="0" quotePrefix="0" xfId="0"/>
    <xf numFmtId="168" fontId="8" fillId="0" borderId="0" pivotButton="0" quotePrefix="0" xfId="0"/>
    <xf numFmtId="165" fontId="8" fillId="0" borderId="0" applyAlignment="1" pivotButton="0" quotePrefix="0" xfId="0">
      <alignment horizontal="right"/>
    </xf>
    <xf numFmtId="167" fontId="8" fillId="0" borderId="0" pivotButton="0" quotePrefix="0" xfId="0"/>
    <xf numFmtId="168" fontId="0" fillId="0" borderId="0" pivotButton="0" quotePrefix="0" xfId="0"/>
    <xf numFmtId="167" fontId="20" fillId="0" borderId="0" applyAlignment="1" pivotButton="0" quotePrefix="0" xfId="0">
      <alignment horizontal="center"/>
    </xf>
    <xf numFmtId="166" fontId="10" fillId="2" borderId="1" pivotButton="0" quotePrefix="0" xfId="0"/>
    <xf numFmtId="165" fontId="8" fillId="2" borderId="1" pivotButton="0" quotePrefix="0" xfId="0"/>
    <xf numFmtId="168" fontId="8" fillId="0" borderId="0" applyAlignment="1" pivotButton="0" quotePrefix="0" xfId="0">
      <alignment horizontal="center"/>
    </xf>
    <xf numFmtId="166" fontId="14" fillId="0" borderId="0" pivotButton="0" quotePrefix="0" xfId="0"/>
    <xf numFmtId="166" fontId="10" fillId="6" borderId="1" pivotButton="0" quotePrefix="0" xfId="0"/>
    <xf numFmtId="166" fontId="10" fillId="0" borderId="0" applyAlignment="1" pivotButton="0" quotePrefix="0" xfId="0">
      <alignment horizontal="right" vertical="top"/>
    </xf>
    <xf numFmtId="165" fontId="32" fillId="0" borderId="0" pivotButton="0" quotePrefix="0" xfId="0"/>
    <xf numFmtId="165" fontId="32" fillId="2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javascript:;" TargetMode="External" Id="rId1" /><Relationship Type="http://schemas.openxmlformats.org/officeDocument/2006/relationships/hyperlink" Target="javascript:;" TargetMode="External" Id="rId2" /><Relationship Type="http://schemas.openxmlformats.org/officeDocument/2006/relationships/hyperlink" Target="javascript:;" TargetMode="External" Id="rId3" /><Relationship Type="http://schemas.openxmlformats.org/officeDocument/2006/relationships/hyperlink" Target="javascript:;" TargetMode="External" Id="rId4" /><Relationship Type="http://schemas.openxmlformats.org/officeDocument/2006/relationships/hyperlink" Target="javascript:;" TargetMode="External" Id="rId5" /><Relationship Type="http://schemas.openxmlformats.org/officeDocument/2006/relationships/hyperlink" Target="javascript:;" TargetMode="External" Id="rId6" /><Relationship Type="http://schemas.openxmlformats.org/officeDocument/2006/relationships/hyperlink" Target="javascript:;" TargetMode="External" Id="rId7" /><Relationship Type="http://schemas.openxmlformats.org/officeDocument/2006/relationships/hyperlink" Target="javascript:;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bcres.paragonrels.com/ParagonLS/Reports/Report.mvc?listingIDs=262973531&amp;screenWidth=2302&amp;uniqueIDs=&amp;viewID=54&amp;classID=1&amp;usePDF=false&amp;ShowAds=false&amp;searchID=tab1_1_2&amp;listingMode=0" TargetMode="External" Id="rId1" /><Relationship Type="http://schemas.openxmlformats.org/officeDocument/2006/relationships/hyperlink" Target="https://bcres.paragonrels.com/ParagonLS/Reports/Report.mvc?listingIDs=262548742&amp;screenWidth=1008&amp;uniqueIDs=&amp;viewID=54&amp;classID=1&amp;usePDF=false&amp;ShowAds=false&amp;searchID=tab1_1_2&amp;listingMode=0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bcres.paragonrels.com/ParagonLS/Reports/Report.mvc?listingIDs=262975532&amp;screenWidth=2302&amp;uniqueIDs=&amp;viewID=54&amp;classID=2&amp;usePDF=false&amp;ShowAds=false&amp;searchID=tab1_1_2&amp;listingMode=0" TargetMode="External" Id="rId1" /><Relationship Type="http://schemas.openxmlformats.org/officeDocument/2006/relationships/hyperlink" Target="https://bcres.paragonrels.com/ParagonLS/Reports/Report.mvc?listingIDs=262975528&amp;screenWidth=2302&amp;uniqueIDs=&amp;viewID=54&amp;classID=2&amp;usePDF=false&amp;ShowAds=false&amp;searchID=tab1_1_2&amp;listingMode=0" TargetMode="External" Id="rId2" /><Relationship Type="http://schemas.openxmlformats.org/officeDocument/2006/relationships/hyperlink" Target="https://bcres.paragonrels.com/ParagonLS/Reports/Report.mvc?listingIDs=262975531&amp;screenWidth=2302&amp;uniqueIDs=&amp;viewID=54&amp;classID=2&amp;usePDF=false&amp;ShowAds=false&amp;searchID=tab1_1_2&amp;listingMode=0" TargetMode="External" Id="rId3" /><Relationship Type="http://schemas.openxmlformats.org/officeDocument/2006/relationships/hyperlink" Target="https://bcres.paragonrels.com/ParagonLS/Reports/Report.mvc?listingIDs=262970128&amp;screenWidth=2302&amp;uniqueIDs=&amp;viewID=54&amp;classID=2&amp;usePDF=false&amp;ShowAds=false&amp;searchID=tab1_1_2&amp;listingMode=0" TargetMode="External" Id="rId4" /><Relationship Type="http://schemas.openxmlformats.org/officeDocument/2006/relationships/hyperlink" Target="https://bcres.paragonrels.com/ParagonLS/Reports/Report.mvc?listingIDs=262972585&amp;screenWidth=2302&amp;uniqueIDs=&amp;viewID=54&amp;classID=2&amp;usePDF=false&amp;ShowAds=false&amp;searchID=tab1_1_2&amp;listingMode=0" TargetMode="External" Id="rId5" /><Relationship Type="http://schemas.openxmlformats.org/officeDocument/2006/relationships/hyperlink" Target="https://bcres.paragonrels.com/ParagonLS/Reports/Report.mvc?listingIDs=262985040&amp;screenWidth=2302&amp;uniqueIDs=&amp;viewID=54&amp;classID=2&amp;usePDF=false&amp;ShowAds=false&amp;searchID=tab1_1_2&amp;listingMode=0" TargetMode="External" Id="rId6" /><Relationship Type="http://schemas.openxmlformats.org/officeDocument/2006/relationships/hyperlink" Target="https://bcres.paragonrels.com/ParagonLS/Reports/Report.mvc?listingIDs=262986360&amp;screenWidth=2302&amp;uniqueIDs=&amp;viewID=54&amp;classID=2&amp;usePDF=false&amp;ShowAds=false&amp;searchID=tab1_1_2&amp;listingMode=0" TargetMode="External" Id="rId7" /><Relationship Type="http://schemas.openxmlformats.org/officeDocument/2006/relationships/hyperlink" Target="https://bcres.paragonrels.com/ParagonLS/Reports/Report.mvc?listingIDs=262932710&amp;screenWidth=2302&amp;uniqueIDs=&amp;viewID=54&amp;classID=2&amp;usePDF=false&amp;ShowAds=false&amp;searchID=tab1_1_2&amp;listingMode=0" TargetMode="External" Id="rId8" /><Relationship Type="http://schemas.openxmlformats.org/officeDocument/2006/relationships/hyperlink" Target="https://bcres.paragonrels.com/ParagonLS/Reports/Report.mvc?listingIDs=262748485&amp;screenWidth=1137&amp;uniqueIDs=&amp;viewID=54&amp;classID=2&amp;usePDF=false&amp;ShowAds=false&amp;searchID=tab1_1_2&amp;listingMode=0" TargetMode="External" Id="rId9" /><Relationship Type="http://schemas.openxmlformats.org/officeDocument/2006/relationships/hyperlink" Target="https://bcres.paragonrels.com/ParagonLS/Reports/Report.mvc?listingIDs=262902349&amp;screenWidth=1137&amp;uniqueIDs=&amp;viewID=54&amp;classID=2&amp;usePDF=false&amp;ShowAds=false&amp;searchID=tab1_1_2&amp;listingMode=0" TargetMode="External" Id="rId10" /><Relationship Type="http://schemas.openxmlformats.org/officeDocument/2006/relationships/hyperlink" Target="https://bcres.paragonrels.com/ParagonLS/Reports/Report.mvc?listingIDs=262910654&amp;screenWidth=1137&amp;uniqueIDs=&amp;viewID=54&amp;classID=2&amp;usePDF=false&amp;ShowAds=false&amp;searchID=tab2_1_2&amp;listingMode=0" TargetMode="External" Id="rId11" /><Relationship Type="http://schemas.openxmlformats.org/officeDocument/2006/relationships/hyperlink" Target="https://bcres.paragonrels.com/ParagonLS/Reports/Report.mvc?listingIDs=262923406&amp;screenWidth=1137&amp;uniqueIDs=&amp;viewID=54&amp;classID=2&amp;usePDF=false&amp;ShowAds=false&amp;searchID=tab2_1_2&amp;listingMode=0" TargetMode="External" Id="rId12" /><Relationship Type="http://schemas.openxmlformats.org/officeDocument/2006/relationships/hyperlink" Target="https://bcres.paragonrels.com/ParagonLS/Reports/Report.mvc?listingIDs=262907784&amp;screenWidth=1137&amp;uniqueIDs=&amp;viewID=54&amp;classID=2&amp;usePDF=false&amp;ShowAds=false&amp;searchID=tab2_1_2&amp;listingMode=0" TargetMode="External" Id="rId13" /><Relationship Type="http://schemas.openxmlformats.org/officeDocument/2006/relationships/hyperlink" Target="https://bcres.paragonrels.com/ParagonLS/Reports/Report.mvc?listingIDs=262934134&amp;screenWidth=1137&amp;uniqueIDs=&amp;viewID=54&amp;classID=2&amp;usePDF=false&amp;ShowAds=false&amp;searchID=tab2_1_2&amp;listingMode=0" TargetMode="External" Id="rId14" /><Relationship Type="http://schemas.openxmlformats.org/officeDocument/2006/relationships/hyperlink" Target="https://bcres.paragonrels.com/ParagonLS/Reports/Report.mvc?listingIDs=262908177&amp;screenWidth=1137&amp;uniqueIDs=&amp;viewID=54&amp;classID=2&amp;usePDF=false&amp;ShowAds=false&amp;searchID=tab2_1_2&amp;listingMode=0" TargetMode="External" Id="rId15" /><Relationship Type="http://schemas.openxmlformats.org/officeDocument/2006/relationships/hyperlink" Target="https://bcres.paragonrels.com/ParagonLS/Reports/Report.mvc?listingIDs=262853505&amp;screenWidth=1137&amp;uniqueIDs=&amp;viewID=54&amp;classID=2&amp;usePDF=false&amp;ShowAds=false&amp;searchID=tab2_1_2&amp;listingMode=0" TargetMode="External" Id="rId16" /><Relationship Type="http://schemas.openxmlformats.org/officeDocument/2006/relationships/hyperlink" Target="https://bcres.paragonrels.com/ParagonLS/Reports/Report.mvc?listingIDs=262922767&amp;screenWidth=1137&amp;uniqueIDs=&amp;viewID=54&amp;classID=2&amp;usePDF=false&amp;ShowAds=false&amp;searchID=tab2_1_2&amp;listingMode=0" TargetMode="External" Id="rId17" /><Relationship Type="http://schemas.openxmlformats.org/officeDocument/2006/relationships/hyperlink" Target="https://bcres.paragonrels.com/ParagonLS/Reports/Report.mvc?listingIDs=262927925&amp;screenWidth=1137&amp;uniqueIDs=&amp;viewID=54&amp;classID=2&amp;usePDF=false&amp;ShowAds=false&amp;searchID=tab2_1_2&amp;listingMode=0" TargetMode="External" Id="rId18" /><Relationship Type="http://schemas.openxmlformats.org/officeDocument/2006/relationships/hyperlink" Target="https://bcres.paragonrels.com/ParagonLS/Reports/Report.mvc?listingIDs=262898801&amp;screenWidth=1137&amp;uniqueIDs=&amp;viewID=54&amp;classID=2&amp;usePDF=false&amp;ShowAds=false&amp;searchID=tab2_1_2&amp;listingMode=0" TargetMode="External" Id="rId19" /><Relationship Type="http://schemas.openxmlformats.org/officeDocument/2006/relationships/hyperlink" Target="https://bcres.paragonrels.com/ParagonLS/Reports/Report.mvc?listingIDs=262905298&amp;screenWidth=1137&amp;uniqueIDs=&amp;viewID=54&amp;classID=2&amp;usePDF=false&amp;ShowAds=false&amp;searchID=tab2_1_2&amp;listingMode=0" TargetMode="External" Id="rId20" /><Relationship Type="http://schemas.openxmlformats.org/officeDocument/2006/relationships/hyperlink" Target="https://bcres.paragonrels.com/ParagonLS/Reports/Report.mvc?listingIDs=262932644&amp;screenWidth=1137&amp;uniqueIDs=&amp;viewID=54&amp;classID=2&amp;usePDF=false&amp;ShowAds=false&amp;searchID=tab2_1_2&amp;listingMode=0" TargetMode="External" Id="rId21" /><Relationship Type="http://schemas.openxmlformats.org/officeDocument/2006/relationships/hyperlink" Target="https://bcres.paragonrels.com/ParagonLS/Reports/Report.mvc?listingIDs=262896165&amp;screenWidth=1137&amp;uniqueIDs=&amp;viewID=54&amp;classID=2&amp;usePDF=false&amp;ShowAds=false&amp;searchID=tab2_1_2&amp;listingMode=0" TargetMode="External" Id="rId22" /><Relationship Type="http://schemas.openxmlformats.org/officeDocument/2006/relationships/hyperlink" Target="https://bcres.paragonrels.com/ParagonLS/Reports/Report.mvc?listingIDs=262934179&amp;screenWidth=1137&amp;uniqueIDs=&amp;viewID=54&amp;classID=2&amp;usePDF=false&amp;ShowAds=false&amp;searchID=tab2_1_2&amp;listingMode=0" TargetMode="External" Id="rId23" /><Relationship Type="http://schemas.openxmlformats.org/officeDocument/2006/relationships/hyperlink" Target="https://bcres.paragonrels.com/ParagonLS/Reports/Report.mvc?listingIDs=262920203&amp;screenWidth=1137&amp;uniqueIDs=&amp;viewID=54&amp;classID=2&amp;usePDF=false&amp;ShowAds=false&amp;searchID=tab2_1_2&amp;listingMode=0" TargetMode="External" Id="rId24" /><Relationship Type="http://schemas.openxmlformats.org/officeDocument/2006/relationships/hyperlink" Target="https://bcres.paragonrels.com/ParagonLS/Reports/Report.mvc?listingIDs=262879385&amp;screenWidth=1137&amp;uniqueIDs=&amp;viewID=54&amp;classID=2&amp;usePDF=false&amp;ShowAds=false&amp;searchID=tab2_1_2&amp;listingMode=0" TargetMode="External" Id="rId25" /><Relationship Type="http://schemas.openxmlformats.org/officeDocument/2006/relationships/hyperlink" Target="https://bcres.paragonrels.com/ParagonLS/Reports/Report.mvc?listingIDs=262896629&amp;screenWidth=1137&amp;uniqueIDs=&amp;viewID=54&amp;classID=2&amp;usePDF=false&amp;ShowAds=false&amp;searchID=tab2_1_2&amp;listingMode=0" TargetMode="External" Id="rId26" /><Relationship Type="http://schemas.openxmlformats.org/officeDocument/2006/relationships/hyperlink" Target="https://bcres.paragonrels.com/ParagonLS/Reports/Report.mvc?listingIDs=262897827&amp;screenWidth=1137&amp;uniqueIDs=&amp;viewID=54&amp;classID=2&amp;usePDF=false&amp;ShowAds=false&amp;searchID=tab2_1_2&amp;listingMode=0" TargetMode="External" Id="rId27" /><Relationship Type="http://schemas.openxmlformats.org/officeDocument/2006/relationships/hyperlink" Target="https://bcres.paragonrels.com/ParagonLS/Reports/Report.mvc?listingIDs=262925581&amp;screenWidth=1137&amp;uniqueIDs=&amp;viewID=54&amp;classID=2&amp;usePDF=false&amp;ShowAds=false&amp;searchID=tab2_1_2&amp;listingMode=0" TargetMode="External" Id="rId28" /><Relationship Type="http://schemas.openxmlformats.org/officeDocument/2006/relationships/hyperlink" Target="https://bcres.paragonrels.com/ParagonLS/Reports/Report.mvc?listingIDs=262935813&amp;screenWidth=1137&amp;uniqueIDs=&amp;viewID=54&amp;classID=2&amp;usePDF=false&amp;ShowAds=false&amp;searchID=tab2_1_2&amp;listingMode=0" TargetMode="External" Id="rId29" /><Relationship Type="http://schemas.openxmlformats.org/officeDocument/2006/relationships/hyperlink" Target="https://bcres.paragonrels.com/ParagonLS/Reports/Report.mvc?listingIDs=262973767&amp;screenWidth=1137&amp;uniqueIDs=&amp;viewID=54&amp;classID=2&amp;usePDF=false&amp;ShowAds=false&amp;searchID=tab2_1_2&amp;listingMode=0" TargetMode="External" Id="rId30" /><Relationship Type="http://schemas.openxmlformats.org/officeDocument/2006/relationships/hyperlink" Target="https://bcres.paragonrels.com/ParagonLS/Reports/Report.mvc?listingIDs=262957981&amp;screenWidth=1137&amp;uniqueIDs=&amp;viewID=54&amp;classID=2&amp;usePDF=false&amp;ShowAds=false&amp;searchID=tab2_1_2&amp;listingMode=0" TargetMode="External" Id="rId31" /><Relationship Type="http://schemas.openxmlformats.org/officeDocument/2006/relationships/hyperlink" Target="https://bcres.paragonrels.com/ParagonLS/Reports/Report.mvc?listingIDs=262975542&amp;screenWidth=1042&amp;uniqueIDs=&amp;viewID=54&amp;classID=2&amp;usePDF=false&amp;ShowAds=false&amp;searchID=tab2_1_2&amp;listingMode=0" TargetMode="External" Id="rId32" /><Relationship Type="http://schemas.openxmlformats.org/officeDocument/2006/relationships/hyperlink" Target="https://bcres.paragonrels.com/ParagonLS/Reports/Report.mvc?listingIDs=262970155&amp;screenWidth=1042&amp;uniqueIDs=&amp;viewID=54&amp;classID=2&amp;usePDF=false&amp;ShowAds=false&amp;searchID=tab2_1_2&amp;listingMode=0" TargetMode="External" Id="rId33" /><Relationship Type="http://schemas.openxmlformats.org/officeDocument/2006/relationships/hyperlink" Target="https://bcres.paragonrels.com/ParagonLS/Reports/Report.mvc?listingIDs=262970211&amp;screenWidth=1042&amp;uniqueIDs=&amp;viewID=54&amp;classID=2&amp;usePDF=false&amp;ShowAds=false&amp;searchID=tab2_1_2&amp;listingMode=0" TargetMode="External" Id="rId34" /><Relationship Type="http://schemas.openxmlformats.org/officeDocument/2006/relationships/hyperlink" Target="https://bcres.paragonrels.com/ParagonLS/Reports/Report.mvc?listingIDs=262989121&amp;screenWidth=1042&amp;uniqueIDs=&amp;viewID=54&amp;classID=2&amp;usePDF=false&amp;ShowAds=false&amp;searchID=tab2_1_2&amp;listingMode=0" TargetMode="External" Id="rId35" /><Relationship Type="http://schemas.openxmlformats.org/officeDocument/2006/relationships/hyperlink" Target="https://bcres.paragonrels.com/ParagonLS/Reports/Report.mvc?listingIDs=262921013&amp;screenWidth=1042&amp;uniqueIDs=&amp;viewID=54&amp;classID=2&amp;usePDF=false&amp;ShowAds=false&amp;searchID=tab2_1_2&amp;listingMode=0" TargetMode="External" Id="rId36" /><Relationship Type="http://schemas.openxmlformats.org/officeDocument/2006/relationships/hyperlink" Target="https://bcres.paragonrels.com/ParagonLS/Reports/Report.mvc?listingIDs=262900023&amp;screenWidth=1042&amp;uniqueIDs=&amp;viewID=54&amp;classID=2&amp;usePDF=false&amp;ShowAds=false&amp;searchID=tab2_1_2&amp;listingMode=0" TargetMode="External" Id="rId37" /><Relationship Type="http://schemas.openxmlformats.org/officeDocument/2006/relationships/hyperlink" Target="https://bcres.paragonrels.com/ParagonLS/Reports/Report.mvc?listingIDs=262927949&amp;screenWidth=1042&amp;uniqueIDs=&amp;viewID=54&amp;classID=2&amp;usePDF=false&amp;ShowAds=false&amp;searchID=tab2_1_2&amp;listingMode=0" TargetMode="External" Id="rId38" /><Relationship Type="http://schemas.openxmlformats.org/officeDocument/2006/relationships/hyperlink" Target="https://bcres.paragonrels.com/ParagonLS/Reports/Report.mvc?listingIDs=262930539&amp;screenWidth=1042&amp;uniqueIDs=&amp;viewID=54&amp;classID=2&amp;usePDF=false&amp;ShowAds=false&amp;searchID=tab2_1_2&amp;listingMode=0" TargetMode="External" Id="rId39" /><Relationship Type="http://schemas.openxmlformats.org/officeDocument/2006/relationships/hyperlink" Target="https://bcres.paragonrels.com/ParagonLS/Reports/Report.mvc?listingIDs=262930258&amp;screenWidth=1042&amp;uniqueIDs=&amp;viewID=54&amp;classID=2&amp;usePDF=false&amp;ShowAds=false&amp;searchID=tab2_1_2&amp;listingMode=0" TargetMode="External" Id="rId40" /><Relationship Type="http://schemas.openxmlformats.org/officeDocument/2006/relationships/hyperlink" Target="https://bcres.paragonrels.com/ParagonLS/Reports/Report.mvc?listingIDs=262930191&amp;screenWidth=1042&amp;uniqueIDs=&amp;viewID=54&amp;classID=2&amp;usePDF=false&amp;ShowAds=false&amp;searchID=tab2_1_2&amp;listingMode=0" TargetMode="External" Id="rId41" /><Relationship Type="http://schemas.openxmlformats.org/officeDocument/2006/relationships/hyperlink" Target="https://bcres.paragonrels.com/ParagonLS/Reports/Report.mvc?listingIDs=262930126&amp;screenWidth=1042&amp;uniqueIDs=&amp;viewID=54&amp;classID=2&amp;usePDF=false&amp;ShowAds=false&amp;searchID=tab2_1_2&amp;listingMode=0" TargetMode="External" Id="rId42" /><Relationship Type="http://schemas.openxmlformats.org/officeDocument/2006/relationships/hyperlink" Target="https://bcres.paragonrels.com/ParagonLS/Reports/Report.mvc?listingIDs=262930331&amp;screenWidth=1042&amp;uniqueIDs=&amp;viewID=54&amp;classID=2&amp;usePDF=false&amp;ShowAds=false&amp;searchID=tab2_1_2&amp;listingMode=0" TargetMode="External" Id="rId43" /><Relationship Type="http://schemas.openxmlformats.org/officeDocument/2006/relationships/hyperlink" Target="https://bcres.paragonrels.com/ParagonLS/Reports/Report.mvc?listingIDs=262930382&amp;screenWidth=1042&amp;uniqueIDs=&amp;viewID=54&amp;classID=2&amp;usePDF=false&amp;ShowAds=false&amp;searchID=tab2_1_2&amp;listingMode=0" TargetMode="External" Id="rId44" /><Relationship Type="http://schemas.openxmlformats.org/officeDocument/2006/relationships/hyperlink" Target="https://bcres.paragonrels.com/ParagonLS/Reports/Report.mvc?listingIDs=262929782&amp;screenWidth=1042&amp;uniqueIDs=&amp;viewID=54&amp;classID=2&amp;usePDF=false&amp;ShowAds=false&amp;searchID=tab2_1_2&amp;listingMode=0" TargetMode="External" Id="rId45" /><Relationship Type="http://schemas.openxmlformats.org/officeDocument/2006/relationships/hyperlink" Target="https://bcres.paragonrels.com/ParagonLS/Reports/Report.mvc?listingIDs=262930813&amp;screenWidth=1042&amp;uniqueIDs=&amp;viewID=54&amp;classID=2&amp;usePDF=false&amp;ShowAds=false&amp;searchID=tab2_1_2&amp;listingMode=0" TargetMode="External" Id="rId46" /><Relationship Type="http://schemas.openxmlformats.org/officeDocument/2006/relationships/hyperlink" Target="https://bcres.paragonrels.com/ParagonLS/Reports/Report.mvc?listingIDs=262881445&amp;screenWidth=1042&amp;uniqueIDs=&amp;viewID=54&amp;classID=2&amp;usePDF=false&amp;ShowAds=false&amp;searchID=tab2_1_2&amp;listingMode=0" TargetMode="External" Id="rId47" /><Relationship Type="http://schemas.openxmlformats.org/officeDocument/2006/relationships/hyperlink" Target="https://bcres.paragonrels.com/ParagonLS/Reports/Report.mvc?listingIDs=262913785&amp;screenWidth=1042&amp;uniqueIDs=&amp;viewID=54&amp;classID=2&amp;usePDF=false&amp;ShowAds=false&amp;searchID=tab2_1_2&amp;listingMode=0" TargetMode="External" Id="rId48" /><Relationship Type="http://schemas.openxmlformats.org/officeDocument/2006/relationships/hyperlink" Target="https://bcres.paragonrels.com/ParagonLS/Reports/Report.mvc?listingIDs=262875117&amp;screenWidth=1042&amp;uniqueIDs=&amp;viewID=54&amp;classID=2&amp;usePDF=false&amp;ShowAds=false&amp;searchID=tab2_1_2&amp;listingMode=0" TargetMode="External" Id="rId49" /><Relationship Type="http://schemas.openxmlformats.org/officeDocument/2006/relationships/hyperlink" Target="https://bcres.paragonrels.com/ParagonLS/Reports/Report.mvc?listingIDs=262892588&amp;screenWidth=1042&amp;uniqueIDs=&amp;viewID=54&amp;classID=2&amp;usePDF=false&amp;ShowAds=false&amp;searchID=tab2_1_2&amp;listingMode=0" TargetMode="External" Id="rId50" /><Relationship Type="http://schemas.openxmlformats.org/officeDocument/2006/relationships/hyperlink" Target="https://bcres.paragonrels.com/ParagonLS/Reports/Report.mvc?listingIDs=262889759&amp;screenWidth=1042&amp;uniqueIDs=&amp;viewID=54&amp;classID=2&amp;usePDF=false&amp;ShowAds=false&amp;searchID=tab2_1_2&amp;listingMode=0" TargetMode="External" Id="rId51" /><Relationship Type="http://schemas.openxmlformats.org/officeDocument/2006/relationships/hyperlink" Target="https://bcres.paragonrels.com/ParagonLS/Reports/Report.mvc?listingIDs=262885760&amp;screenWidth=1042&amp;uniqueIDs=&amp;viewID=54&amp;classID=2&amp;usePDF=false&amp;ShowAds=false&amp;searchID=tab2_1_2&amp;listingMode=0" TargetMode="External" Id="rId52" /><Relationship Type="http://schemas.openxmlformats.org/officeDocument/2006/relationships/hyperlink" Target="https://bcres.paragonrels.com/ParagonLS/Reports/Report.mvc?listingIDs=262942819&amp;screenWidth=1042&amp;uniqueIDs=&amp;viewID=54&amp;classID=2&amp;usePDF=false&amp;ShowAds=false&amp;searchID=tab2_1_2&amp;listingMode=0" TargetMode="External" Id="rId53" /><Relationship Type="http://schemas.openxmlformats.org/officeDocument/2006/relationships/hyperlink" Target="https://bcres.paragonrels.com/ParagonLS/Reports/Report.mvc?listingIDs=262951865&amp;screenWidth=1042&amp;uniqueIDs=&amp;viewID=54&amp;classID=2&amp;usePDF=false&amp;ShowAds=false&amp;searchID=tab2_1_2&amp;listingMode=0" TargetMode="External" Id="rId54" /><Relationship Type="http://schemas.openxmlformats.org/officeDocument/2006/relationships/hyperlink" Target="https://bcres.paragonrels.com/ParagonLS/Reports/Report.mvc?listingIDs=262912868&amp;screenWidth=1042&amp;uniqueIDs=&amp;viewID=54&amp;classID=2&amp;usePDF=false&amp;ShowAds=false&amp;searchID=tab2_1_2&amp;listingMode=0" TargetMode="External" Id="rId55" /><Relationship Type="http://schemas.openxmlformats.org/officeDocument/2006/relationships/hyperlink" Target="https://bcres.paragonrels.com/ParagonLS/Reports/Report.mvc?listingIDs=262932533&amp;screenWidth=1042&amp;uniqueIDs=&amp;viewID=54&amp;classID=2&amp;usePDF=false&amp;ShowAds=false&amp;searchID=tab2_1_2&amp;listingMode=0" TargetMode="External" Id="rId56" /><Relationship Type="http://schemas.openxmlformats.org/officeDocument/2006/relationships/hyperlink" Target="https://bcres.paragonrels.com/ParagonLS/Reports/Report.mvc?listingIDs=262936113&amp;screenWidth=1042&amp;uniqueIDs=&amp;viewID=54&amp;classID=2&amp;usePDF=false&amp;ShowAds=false&amp;searchID=tab2_1_2&amp;listingMode=0" TargetMode="External" Id="rId57" /><Relationship Type="http://schemas.openxmlformats.org/officeDocument/2006/relationships/hyperlink" Target="https://bcres.paragonrels.com/ParagonLS/Reports/Report.mvc?listingIDs=262942223&amp;screenWidth=1042&amp;uniqueIDs=&amp;viewID=54&amp;classID=2&amp;usePDF=false&amp;ShowAds=false&amp;searchID=tab2_1_2&amp;listingMode=0" TargetMode="External" Id="rId58" /><Relationship Type="http://schemas.openxmlformats.org/officeDocument/2006/relationships/hyperlink" Target="https://bcres.paragonrels.com/ParagonLS/Reports/Report.mvc?listingIDs=262960413&amp;screenWidth=1042&amp;uniqueIDs=&amp;viewID=54&amp;classID=2&amp;usePDF=false&amp;ShowAds=false&amp;searchID=tab2_1_2&amp;listingMode=0" TargetMode="External" Id="rId59" /><Relationship Type="http://schemas.openxmlformats.org/officeDocument/2006/relationships/hyperlink" Target="https://bcres.paragonrels.com/ParagonLS/Reports/Report.mvc?listingIDs=262913209&amp;screenWidth=1042&amp;uniqueIDs=&amp;viewID=54&amp;classID=2&amp;usePDF=false&amp;ShowAds=false&amp;searchID=tab2_1_2&amp;listingMode=0" TargetMode="External" Id="rId60" /><Relationship Type="http://schemas.openxmlformats.org/officeDocument/2006/relationships/hyperlink" Target="https://bcres.paragonrels.com/ParagonLS/Reports/Report.mvc?listingIDs=262932545&amp;screenWidth=1042&amp;uniqueIDs=&amp;viewID=54&amp;classID=2&amp;usePDF=false&amp;ShowAds=false&amp;searchID=tab2_1_2&amp;listingMode=0" TargetMode="External" Id="rId61" /><Relationship Type="http://schemas.openxmlformats.org/officeDocument/2006/relationships/hyperlink" Target="https://bcres.paragonrels.com/ParagonLS/Reports/Report.mvc?listingIDs=262948316&amp;screenWidth=1042&amp;uniqueIDs=&amp;viewID=54&amp;classID=2&amp;usePDF=false&amp;ShowAds=false&amp;searchID=tab2_1_2&amp;listingMode=0" TargetMode="External" Id="rId62" /><Relationship Type="http://schemas.openxmlformats.org/officeDocument/2006/relationships/hyperlink" Target="https://bcres.paragonrels.com/ParagonLS/Reports/Report.mvc?listingIDs=262878051&amp;screenWidth=1042&amp;uniqueIDs=&amp;viewID=54&amp;classID=2&amp;usePDF=false&amp;ShowAds=false&amp;searchID=tab2_1_2&amp;listingMode=0" TargetMode="External" Id="rId63" /><Relationship Type="http://schemas.openxmlformats.org/officeDocument/2006/relationships/hyperlink" Target="https://bcres.paragonrels.com/ParagonLS/Reports/Report.mvc?listingIDs=262915428&amp;screenWidth=1042&amp;uniqueIDs=&amp;viewID=54&amp;classID=2&amp;usePDF=false&amp;ShowAds=false&amp;searchID=tab2_1_2&amp;listingMode=0" TargetMode="External" Id="rId64" /><Relationship Type="http://schemas.openxmlformats.org/officeDocument/2006/relationships/hyperlink" Target="https://bcres.paragonrels.com/ParagonLS/Reports/Report.mvc?listingIDs=262906058&amp;screenWidth=1042&amp;uniqueIDs=&amp;viewID=54&amp;classID=2&amp;usePDF=false&amp;ShowAds=false&amp;searchID=tab2_1_2&amp;listingMode=0" TargetMode="External" Id="rId65" /><Relationship Type="http://schemas.openxmlformats.org/officeDocument/2006/relationships/hyperlink" Target="https://bcres.paragonrels.com/ParagonLS/Reports/Report.mvc?listingIDs=262925114&amp;screenWidth=1042&amp;uniqueIDs=&amp;viewID=54&amp;classID=2&amp;usePDF=false&amp;ShowAds=false&amp;searchID=tab2_1_2&amp;listingMode=0" TargetMode="External" Id="rId66" /><Relationship Type="http://schemas.openxmlformats.org/officeDocument/2006/relationships/hyperlink" Target="https://bcres.paragonrels.com/ParagonLS/Reports/Report.mvc?listingIDs=262878050&amp;screenWidth=1042&amp;uniqueIDs=&amp;viewID=54&amp;classID=2&amp;usePDF=false&amp;ShowAds=false&amp;searchID=tab2_1_2&amp;listingMode=0" TargetMode="External" Id="rId67" /><Relationship Type="http://schemas.openxmlformats.org/officeDocument/2006/relationships/hyperlink" Target="https://bcres.paragonrels.com/ParagonLS/Reports/Report.mvc?listingIDs=262934810&amp;screenWidth=1042&amp;uniqueIDs=&amp;viewID=54&amp;classID=2&amp;usePDF=false&amp;ShowAds=false&amp;searchID=tab2_1_2&amp;listingMode=0" TargetMode="External" Id="rId68" /><Relationship Type="http://schemas.openxmlformats.org/officeDocument/2006/relationships/hyperlink" Target="https://bcres.paragonrels.com/ParagonLS/Reports/Report.mvc?listingIDs=262963653&amp;screenWidth=1042&amp;uniqueIDs=&amp;viewID=54&amp;classID=2&amp;usePDF=false&amp;ShowAds=false&amp;searchID=tab2_1_2&amp;listingMode=0" TargetMode="External" Id="rId69" /><Relationship Type="http://schemas.openxmlformats.org/officeDocument/2006/relationships/hyperlink" Target="https://bcres.paragonrels.com/ParagonLS/Reports/Report.mvc?listingIDs=262913012&amp;screenWidth=1042&amp;uniqueIDs=&amp;viewID=54&amp;classID=2&amp;usePDF=false&amp;ShowAds=false&amp;searchID=tab2_1_2&amp;listingMode=0" TargetMode="External" Id="rId70" /><Relationship Type="http://schemas.openxmlformats.org/officeDocument/2006/relationships/hyperlink" Target="https://bcres.paragonrels.com/ParagonLS/Reports/Report.mvc?listingIDs=262909038&amp;screenWidth=1042&amp;uniqueIDs=&amp;viewID=54&amp;classID=2&amp;usePDF=false&amp;ShowAds=false&amp;searchID=tab2_1_2&amp;listingMode=0" TargetMode="External" Id="rId71" /><Relationship Type="http://schemas.openxmlformats.org/officeDocument/2006/relationships/hyperlink" Target="https://bcres.paragonrels.com/ParagonLS/Reports/Report.mvc?listingIDs=262890407&amp;screenWidth=1042&amp;uniqueIDs=&amp;viewID=54&amp;classID=2&amp;usePDF=false&amp;ShowAds=false&amp;searchID=tab2_1_2&amp;listingMode=0" TargetMode="External" Id="rId72" /><Relationship Type="http://schemas.openxmlformats.org/officeDocument/2006/relationships/hyperlink" Target="https://bcres.paragonrels.com/ParagonLS/Reports/Report.mvc?listingIDs=262897194&amp;screenWidth=1042&amp;uniqueIDs=&amp;viewID=54&amp;classID=2&amp;usePDF=false&amp;ShowAds=false&amp;searchID=tab2_1_2&amp;listingMode=0" TargetMode="External" Id="rId73" /><Relationship Type="http://schemas.openxmlformats.org/officeDocument/2006/relationships/hyperlink" Target="https://bcres.paragonrels.com/ParagonLS/Reports/Report.mvc?listingIDs=262928568&amp;screenWidth=1042&amp;uniqueIDs=&amp;viewID=54&amp;classID=2&amp;usePDF=false&amp;ShowAds=false&amp;searchID=tab2_1_2&amp;listingMode=0" TargetMode="External" Id="rId74" /><Relationship Type="http://schemas.openxmlformats.org/officeDocument/2006/relationships/hyperlink" Target="https://bcres.paragonrels.com/ParagonLS/Reports/Report.mvc?listingIDs=262922249&amp;screenWidth=1042&amp;uniqueIDs=&amp;viewID=54&amp;classID=2&amp;usePDF=false&amp;ShowAds=false&amp;searchID=tab2_1_2&amp;listingMode=0" TargetMode="External" Id="rId75" /><Relationship Type="http://schemas.openxmlformats.org/officeDocument/2006/relationships/hyperlink" Target="https://bcres.paragonrels.com/ParagonLS/Reports/Report.mvc?listingIDs=262898307&amp;screenWidth=1042&amp;uniqueIDs=&amp;viewID=54&amp;classID=2&amp;usePDF=false&amp;ShowAds=false&amp;searchID=tab2_1_2&amp;listingMode=0" TargetMode="External" Id="rId76" /><Relationship Type="http://schemas.openxmlformats.org/officeDocument/2006/relationships/hyperlink" Target="https://bcres.paragonrels.com/ParagonLS/Reports/Report.mvc?listingIDs=262893017&amp;screenWidth=1042&amp;uniqueIDs=&amp;viewID=54&amp;classID=2&amp;usePDF=false&amp;ShowAds=false&amp;searchID=tab2_1_2&amp;listingMode=0" TargetMode="External" Id="rId77" /><Relationship Type="http://schemas.openxmlformats.org/officeDocument/2006/relationships/hyperlink" Target="https://bcres.paragonrels.com/ParagonLS/Reports/Report.mvc?listingIDs=262887385&amp;screenWidth=1042&amp;uniqueIDs=&amp;viewID=54&amp;classID=2&amp;usePDF=false&amp;ShowAds=false&amp;searchID=tab2_1_2&amp;listingMode=0" TargetMode="External" Id="rId78" /><Relationship Type="http://schemas.openxmlformats.org/officeDocument/2006/relationships/hyperlink" Target="https://bcres.paragonrels.com/ParagonLS/Reports/Report.mvc?listingIDs=262891198&amp;screenWidth=1042&amp;uniqueIDs=&amp;viewID=54&amp;classID=2&amp;usePDF=false&amp;ShowAds=false&amp;searchID=tab2_1_2&amp;listingMode=0" TargetMode="External" Id="rId79" /><Relationship Type="http://schemas.openxmlformats.org/officeDocument/2006/relationships/hyperlink" Target="https://bcres.paragonrels.com/ParagonLS/Reports/Report.mvc?listingIDs=262895127&amp;screenWidth=1042&amp;uniqueIDs=&amp;viewID=54&amp;classID=2&amp;usePDF=false&amp;ShowAds=false&amp;searchID=tab2_1_2&amp;listingMode=0" TargetMode="External" Id="rId80" /><Relationship Type="http://schemas.openxmlformats.org/officeDocument/2006/relationships/hyperlink" Target="https://bcres.paragonrels.com/ParagonLS/Reports/Report.mvc?listingIDs=262885959&amp;screenWidth=1042&amp;uniqueIDs=&amp;viewID=54&amp;classID=2&amp;usePDF=false&amp;ShowAds=false&amp;searchID=tab2_1_2&amp;listingMode=0" TargetMode="External" Id="rId81" /><Relationship Type="http://schemas.openxmlformats.org/officeDocument/2006/relationships/hyperlink" Target="https://bcres.paragonrels.com/ParagonLS/Reports/Report.mvc?listingIDs=262884562&amp;screenWidth=1042&amp;uniqueIDs=&amp;viewID=54&amp;classID=2&amp;usePDF=false&amp;ShowAds=false&amp;searchID=tab2_1_2&amp;listingMode=0" TargetMode="External" Id="rId82" /><Relationship Type="http://schemas.openxmlformats.org/officeDocument/2006/relationships/hyperlink" Target="https://bcres.paragonrels.com/ParagonLS/Reports/Report.mvc?listingIDs=262891879&amp;screenWidth=1042&amp;uniqueIDs=&amp;viewID=54&amp;classID=2&amp;usePDF=false&amp;ShowAds=false&amp;searchID=tab2_1_2&amp;listingMode=0" TargetMode="External" Id="rId83" /><Relationship Type="http://schemas.openxmlformats.org/officeDocument/2006/relationships/hyperlink" Target="https://bcres.paragonrels.com/ParagonLS/Reports/Report.mvc?listingIDs=262890983&amp;screenWidth=1042&amp;uniqueIDs=&amp;viewID=54&amp;classID=2&amp;usePDF=false&amp;ShowAds=false&amp;searchID=tab2_1_2&amp;listingMode=0" TargetMode="External" Id="rId84" /><Relationship Type="http://schemas.openxmlformats.org/officeDocument/2006/relationships/hyperlink" Target="https://bcres.paragonrels.com/ParagonLS/Reports/Report.mvc?listingIDs=262943544&amp;screenWidth=1042&amp;uniqueIDs=&amp;viewID=54&amp;classID=2&amp;usePDF=false&amp;ShowAds=false&amp;searchID=tab2_1_2&amp;listingMode=0" TargetMode="External" Id="rId85" /><Relationship Type="http://schemas.openxmlformats.org/officeDocument/2006/relationships/hyperlink" Target="https://bcres.paragonrels.com/ParagonLS/Reports/Report.mvc?listingIDs=262890696&amp;screenWidth=1042&amp;uniqueIDs=&amp;viewID=54&amp;classID=2&amp;usePDF=false&amp;ShowAds=false&amp;searchID=tab2_1_2&amp;listingMode=0" TargetMode="External" Id="rId86" /><Relationship Type="http://schemas.openxmlformats.org/officeDocument/2006/relationships/hyperlink" Target="https://bcres.paragonrels.com/ParagonLS/Reports/Report.mvc?listingIDs=262947476&amp;screenWidth=1042&amp;uniqueIDs=&amp;viewID=54&amp;classID=2&amp;usePDF=false&amp;ShowAds=false&amp;searchID=tab2_1_2&amp;listingMode=0" TargetMode="External" Id="rId87" /><Relationship Type="http://schemas.openxmlformats.org/officeDocument/2006/relationships/hyperlink" Target="https://bcres.paragonrels.com/ParagonLS/Reports/Report.mvc?listingIDs=262943363&amp;screenWidth=1042&amp;uniqueIDs=&amp;viewID=54&amp;classID=2&amp;usePDF=false&amp;ShowAds=false&amp;searchID=tab2_1_2&amp;listingMode=0" TargetMode="External" Id="rId88" /><Relationship Type="http://schemas.openxmlformats.org/officeDocument/2006/relationships/hyperlink" Target="https://bcres.paragonrels.com/ParagonLS/Reports/Report.mvc?listingIDs=262942958&amp;screenWidth=1042&amp;uniqueIDs=&amp;viewID=54&amp;classID=2&amp;usePDF=false&amp;ShowAds=false&amp;searchID=tab2_1_2&amp;listingMode=0" TargetMode="External" Id="rId89" /><Relationship Type="http://schemas.openxmlformats.org/officeDocument/2006/relationships/hyperlink" Target="https://bcres.paragonrels.com/ParagonLS/Reports/Report.mvc?listingIDs=262918430&amp;screenWidth=1042&amp;uniqueIDs=&amp;viewID=54&amp;classID=2&amp;usePDF=false&amp;ShowAds=false&amp;searchID=tab2_1_2&amp;listingMode=0" TargetMode="External" Id="rId90" /><Relationship Type="http://schemas.openxmlformats.org/officeDocument/2006/relationships/hyperlink" Target="https://bcres.paragonrels.com/ParagonLS/Reports/Report.mvc?listingIDs=262908412&amp;screenWidth=1042&amp;uniqueIDs=&amp;viewID=54&amp;classID=2&amp;usePDF=false&amp;ShowAds=false&amp;searchID=tab2_1_2&amp;listingMode=0" TargetMode="External" Id="rId91" /><Relationship Type="http://schemas.openxmlformats.org/officeDocument/2006/relationships/hyperlink" Target="https://bcres.paragonrels.com/ParagonLS/Reports/Report.mvc?listingIDs=262899274&amp;screenWidth=1042&amp;uniqueIDs=&amp;viewID=54&amp;classID=2&amp;usePDF=false&amp;ShowAds=false&amp;searchID=tab2_1_2&amp;listingMode=0" TargetMode="External" Id="rId92" /><Relationship Type="http://schemas.openxmlformats.org/officeDocument/2006/relationships/hyperlink" Target="https://bcres.paragonrels.com/ParagonLS/Reports/Report.mvc?listingIDs=262911693&amp;screenWidth=1042&amp;uniqueIDs=&amp;viewID=54&amp;classID=2&amp;usePDF=false&amp;ShowAds=false&amp;searchID=tab2_1_2&amp;listingMode=0" TargetMode="External" Id="rId93" /><Relationship Type="http://schemas.openxmlformats.org/officeDocument/2006/relationships/hyperlink" Target="https://bcres.paragonrels.com/ParagonLS/Reports/Report.mvc?listingIDs=262978003&amp;screenWidth=1042&amp;uniqueIDs=&amp;viewID=54&amp;classID=2&amp;usePDF=false&amp;ShowAds=false&amp;searchID=tab2_1_2&amp;listingMode=0" TargetMode="External" Id="rId94" /><Relationship Type="http://schemas.openxmlformats.org/officeDocument/2006/relationships/hyperlink" Target="https://bcres.paragonrels.com/ParagonLS/Reports/Report.mvc?listingIDs=262978010&amp;screenWidth=1042&amp;uniqueIDs=&amp;viewID=54&amp;classID=2&amp;usePDF=false&amp;ShowAds=false&amp;searchID=tab2_1_2&amp;listingMode=0" TargetMode="External" Id="rId95" /><Relationship Type="http://schemas.openxmlformats.org/officeDocument/2006/relationships/hyperlink" Target="https://bcres.paragonrels.com/ParagonLS/Reports/Report.mvc?listingIDs=262978013&amp;screenWidth=1042&amp;uniqueIDs=&amp;viewID=54&amp;classID=2&amp;usePDF=false&amp;ShowAds=false&amp;searchID=tab2_1_2&amp;listingMode=0" TargetMode="External" Id="rId96" /><Relationship Type="http://schemas.openxmlformats.org/officeDocument/2006/relationships/hyperlink" Target="https://bcres.paragonrels.com/ParagonLS/Reports/Report.mvc?listingIDs=262918950&amp;screenWidth=1042&amp;uniqueIDs=&amp;viewID=54&amp;classID=2&amp;usePDF=false&amp;ShowAds=false&amp;searchID=tab2_1_2&amp;listingMode=0" TargetMode="External" Id="rId97" /><Relationship Type="http://schemas.openxmlformats.org/officeDocument/2006/relationships/hyperlink" Target="https://bcres.paragonrels.com/ParagonLS/Reports/Report.mvc?listingIDs=262918979&amp;screenWidth=1042&amp;uniqueIDs=&amp;viewID=54&amp;classID=2&amp;usePDF=false&amp;ShowAds=false&amp;searchID=tab2_1_2&amp;listingMode=0" TargetMode="External" Id="rId98" /></Relationships>
</file>

<file path=xl/worksheets/_rels/sheet4.xml.rels><Relationships xmlns="http://schemas.openxmlformats.org/package/2006/relationships"><Relationship Type="http://schemas.openxmlformats.org/officeDocument/2006/relationships/hyperlink" Target="https://maps.app.goo.gl/FLNRnn2MN64aiJJ5A" TargetMode="External" Id="rId1" /><Relationship Type="http://schemas.openxmlformats.org/officeDocument/2006/relationships/hyperlink" Target="https://www.bcassessment.ca/Property/Info/RDAwMDFTNjkxWg=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999"/>
  <sheetViews>
    <sheetView zoomScale="85" zoomScaleNormal="85" workbookViewId="0">
      <pane ySplit="2" topLeftCell="A3" activePane="bottomLeft" state="frozen"/>
      <selection pane="bottomLeft" activeCell="M2" sqref="M2"/>
    </sheetView>
  </sheetViews>
  <sheetFormatPr baseColWidth="8" defaultColWidth="14.44140625" defaultRowHeight="15" customHeight="1"/>
  <cols>
    <col width="8.6640625" customWidth="1" style="102" min="1" max="1"/>
    <col width="23" customWidth="1" style="102" min="2" max="2"/>
    <col width="11" customWidth="1" style="102" min="3" max="3"/>
    <col width="11.88671875" customWidth="1" style="102" min="4" max="4"/>
    <col width="12.109375" customWidth="1" style="102" min="5" max="5"/>
    <col width="5.44140625" customWidth="1" style="102" min="6" max="7"/>
    <col width="6.5546875" customWidth="1" style="102" min="8" max="8"/>
    <col width="7.6640625" customWidth="1" style="102" min="9" max="9"/>
    <col width="5" customWidth="1" style="102" min="10" max="10"/>
    <col width="4.5546875" customWidth="1" style="102" min="11" max="11"/>
    <col width="6.44140625" customWidth="1" style="102" min="12" max="12"/>
    <col width="5.44140625" customWidth="1" style="102" min="13" max="13"/>
    <col width="11.109375" customWidth="1" style="102" min="14" max="14"/>
    <col width="11" customWidth="1" style="102" min="15" max="15"/>
    <col width="11.6640625" customWidth="1" style="102" min="16" max="16"/>
    <col width="9.5546875" customWidth="1" style="102" min="17" max="17"/>
    <col width="12.33203125" customWidth="1" style="102" min="18" max="18"/>
    <col width="18.33203125" customWidth="1" style="102" min="19" max="19"/>
    <col width="16.44140625" customWidth="1" style="102" min="20" max="20"/>
    <col width="19.6640625" customWidth="1" style="102" min="21" max="21"/>
    <col width="6.5546875" customWidth="1" style="102" min="22" max="22"/>
    <col width="8.6640625" customWidth="1" style="102" min="23" max="26"/>
  </cols>
  <sheetData>
    <row r="1" s="102" thickBot="1">
      <c r="A1" s="103" t="inlineStr">
        <is>
          <t>Last Scraped Date</t>
        </is>
      </c>
      <c r="B1" s="100" t="inlineStr">
        <is>
          <t>04.03.26</t>
        </is>
      </c>
      <c r="C1" s="108" t="inlineStr">
        <is>
          <t>BRENTWOOD PARK - BURNABY NORTH</t>
        </is>
      </c>
    </row>
    <row r="2" s="102" thickBot="1">
      <c r="A2" s="2" t="inlineStr">
        <is>
          <t>COPY</t>
        </is>
      </c>
      <c r="B2" s="3" t="inlineStr">
        <is>
          <t>Address</t>
        </is>
      </c>
      <c r="C2" s="4" t="inlineStr">
        <is>
          <t>SOLD</t>
        </is>
      </c>
      <c r="D2" s="5" t="inlineStr">
        <is>
          <t>List</t>
        </is>
      </c>
      <c r="E2" s="5" t="inlineStr">
        <is>
          <t>x - S.Date</t>
        </is>
      </c>
      <c r="F2" s="6" t="inlineStr">
        <is>
          <t>DOM</t>
        </is>
      </c>
      <c r="G2" s="7" t="inlineStr">
        <is>
          <t>List#</t>
        </is>
      </c>
      <c r="H2" s="8" t="inlineStr">
        <is>
          <t>Build</t>
        </is>
      </c>
      <c r="I2" s="8" t="inlineStr">
        <is>
          <t>Lot Size</t>
        </is>
      </c>
      <c r="J2" s="9" t="inlineStr">
        <is>
          <t>Bed</t>
        </is>
      </c>
      <c r="K2" s="9" t="inlineStr">
        <is>
          <t>Bath</t>
        </is>
      </c>
      <c r="L2" s="9" t="inlineStr">
        <is>
          <t>Sqft</t>
        </is>
      </c>
      <c r="M2" s="109" t="inlineStr">
        <is>
          <t>Kitch</t>
        </is>
      </c>
      <c r="N2" s="110" t="inlineStr">
        <is>
          <t>Land</t>
        </is>
      </c>
      <c r="O2" s="12" t="inlineStr">
        <is>
          <t>Total ASS</t>
        </is>
      </c>
      <c r="P2" s="9" t="inlineStr">
        <is>
          <t>S vs ASS</t>
        </is>
      </c>
    </row>
    <row r="3" ht="14.4" customHeight="1" s="102">
      <c r="A3" s="2" t="n"/>
      <c r="B3" s="107" t="inlineStr">
        <is>
          <t>SOLDS</t>
        </is>
      </c>
      <c r="C3" s="104" t="n"/>
      <c r="D3" s="104" t="n"/>
      <c r="E3" s="104" t="n"/>
      <c r="F3" s="105" t="n"/>
      <c r="G3" s="104" t="n"/>
      <c r="H3" s="8" t="n"/>
      <c r="I3" s="8" t="n"/>
      <c r="J3" s="9" t="n"/>
      <c r="K3" s="9" t="n"/>
      <c r="L3" s="9" t="n"/>
      <c r="M3" s="109" t="n"/>
      <c r="N3" s="111" t="n"/>
      <c r="O3" s="105" t="n"/>
      <c r="P3" s="9" t="n"/>
    </row>
    <row r="4" ht="14.4" customHeight="1" s="102">
      <c r="A4" s="13">
        <f>IF(B4="","-",IF(COUNTIF(E.DETACHED!B:B,B4)+COUNTIF('A.S.PRINTOUT'!B:B,B4)&gt;1,COUNTIF(E.DETACHED!B:B,B4)+COUNTIF('A.S.PRINTOUT'!B:B,B4)-1,"-"))</f>
        <v/>
      </c>
      <c r="C4" s="9" t="n"/>
      <c r="D4" s="9" t="n"/>
      <c r="E4" s="9" t="n"/>
      <c r="F4" s="8" t="n"/>
      <c r="G4" s="9" t="n"/>
      <c r="H4" s="8" t="n"/>
      <c r="I4" s="8" t="n"/>
      <c r="J4" s="9" t="n"/>
      <c r="K4" s="9" t="n"/>
      <c r="L4" s="9" t="n"/>
      <c r="M4" s="109" t="n"/>
      <c r="N4" s="112" t="n"/>
      <c r="O4" s="16" t="n"/>
      <c r="P4" s="113" t="n"/>
    </row>
    <row r="5" ht="15.75" customHeight="1" s="102">
      <c r="A5" s="13">
        <f>IF(B5="","-",IF(COUNTIF(E.DETACHED!B:B,B5)+COUNTIF('A.S.PRINTOUT'!B:B,B5)&gt;1,COUNTIF(E.DETACHED!B:B,B5)+COUNTIF('A.S.PRINTOUT'!B:B,B5)-1,"-"))</f>
        <v/>
      </c>
      <c r="B5" t="inlineStr">
        <is>
          <t>4581 UNION STREET</t>
        </is>
      </c>
      <c r="C5" s="114" t="n">
        <v>1628000</v>
      </c>
      <c r="D5" s="114" t="n">
        <v>1799900</v>
      </c>
      <c r="E5" s="91" t="n">
        <v>46063</v>
      </c>
      <c r="F5" s="22" t="n">
        <v>14</v>
      </c>
      <c r="G5" s="21" t="n">
        <v>1</v>
      </c>
      <c r="H5" s="21" t="n">
        <v>1979</v>
      </c>
      <c r="I5" s="21" t="n">
        <v>4026</v>
      </c>
      <c r="J5" s="21" t="n">
        <v>4</v>
      </c>
      <c r="K5" s="21" t="n">
        <v>3</v>
      </c>
      <c r="L5" s="22" t="n">
        <v>2655</v>
      </c>
      <c r="M5" s="21" t="n">
        <v>2</v>
      </c>
      <c r="N5" s="115" t="n">
        <v>1558000</v>
      </c>
      <c r="O5" s="115" t="n">
        <v>1708000</v>
      </c>
      <c r="P5" s="113">
        <f>C5-O5</f>
        <v/>
      </c>
      <c r="T5" s="19" t="n"/>
    </row>
    <row r="6" ht="15.75" customHeight="1" s="102">
      <c r="A6" s="13">
        <f>IF(B6="","-",IF(COUNTIF(E.DETACHED!B:B,B6)+COUNTIF('A.S.PRINTOUT'!B:B,B6)&gt;1,COUNTIF(E.DETACHED!B:B,B6)+COUNTIF('A.S.PRINTOUT'!B:B,B6)-1,"-"))</f>
        <v/>
      </c>
      <c r="B6" s="19" t="inlineStr">
        <is>
          <t>4930 VENABLES STREET</t>
        </is>
      </c>
      <c r="C6" s="114" t="n">
        <v>2200000</v>
      </c>
      <c r="D6" s="113" t="n">
        <v>2499000</v>
      </c>
      <c r="E6" s="91" t="n">
        <v>46054</v>
      </c>
      <c r="F6" s="22" t="n">
        <v>76</v>
      </c>
      <c r="G6" s="21" t="n">
        <v>2</v>
      </c>
      <c r="H6" s="21" t="n">
        <v>1991</v>
      </c>
      <c r="I6" s="21" t="n">
        <v>7320</v>
      </c>
      <c r="J6" s="21" t="n">
        <v>8</v>
      </c>
      <c r="K6" s="21" t="n">
        <v>6</v>
      </c>
      <c r="L6" s="22" t="n">
        <v>4383</v>
      </c>
      <c r="M6" s="21" t="n">
        <v>2</v>
      </c>
      <c r="N6" s="115" t="n">
        <v>2072000</v>
      </c>
      <c r="O6" s="115" t="n">
        <v>2553000</v>
      </c>
      <c r="P6" s="113">
        <f>C6-O6</f>
        <v/>
      </c>
      <c r="T6" s="19" t="n"/>
    </row>
    <row r="7" ht="15.75" customHeight="1" s="102">
      <c r="A7" s="13">
        <f>IF(B7="","-",IF(COUNTIF(E.DETACHED!B:B,B7)+COUNTIF('A.S.PRINTOUT'!B:B,B7)&gt;1,COUNTIF(E.DETACHED!B:B,B7)+COUNTIF('A.S.PRINTOUT'!B:B,B7)-1,"-"))</f>
        <v/>
      </c>
      <c r="B7" s="33" t="inlineStr">
        <is>
          <t>5031 HALIFAX STREET</t>
        </is>
      </c>
      <c r="C7" s="114" t="n">
        <v>1750000</v>
      </c>
      <c r="D7" s="114" t="n">
        <v>1799000</v>
      </c>
      <c r="E7" s="91" t="n">
        <v>46000</v>
      </c>
      <c r="F7" s="22" t="n">
        <v>8</v>
      </c>
      <c r="G7" s="21" t="n">
        <v>2</v>
      </c>
      <c r="H7" s="21" t="n">
        <v>1986</v>
      </c>
      <c r="I7" s="21" t="n">
        <v>6002</v>
      </c>
      <c r="J7" s="21" t="n">
        <v>6</v>
      </c>
      <c r="K7" s="21" t="n">
        <v>3</v>
      </c>
      <c r="L7" s="22" t="n">
        <v>2951</v>
      </c>
      <c r="M7" s="21" t="n">
        <v>2</v>
      </c>
      <c r="N7" s="115" t="n">
        <v>1847000</v>
      </c>
      <c r="O7" s="115" t="n">
        <v>2102000</v>
      </c>
      <c r="P7" s="113">
        <f>C7-O7</f>
        <v/>
      </c>
    </row>
    <row r="8" ht="14.4" customHeight="1" s="102">
      <c r="A8" s="13">
        <f>IF(B8="","-",IF(COUNTIF(E.DETACHED!B:B,B8)+COUNTIF('A.S.PRINTOUT'!B:B,B8)&gt;1,COUNTIF(E.DETACHED!B:B,B8)+COUNTIF('A.S.PRINTOUT'!B:B,B8)-1,"-"))</f>
        <v/>
      </c>
      <c r="B8" s="19" t="inlineStr">
        <is>
          <t>5060 VENABLES STREET</t>
        </is>
      </c>
      <c r="C8" s="113" t="n">
        <v>1844000</v>
      </c>
      <c r="D8" s="113" t="n">
        <v>1868000</v>
      </c>
      <c r="E8" s="20" t="n">
        <v>45913</v>
      </c>
      <c r="F8" s="21" t="n">
        <v>26</v>
      </c>
      <c r="G8" s="21" t="n">
        <v>1</v>
      </c>
      <c r="H8" s="21" t="n">
        <v>1960</v>
      </c>
      <c r="I8" s="22" t="n">
        <v>8052</v>
      </c>
      <c r="J8" s="21" t="n">
        <v>5</v>
      </c>
      <c r="K8" s="21" t="n">
        <v>2</v>
      </c>
      <c r="L8" s="22" t="n">
        <v>2149</v>
      </c>
      <c r="M8" s="21" t="n">
        <v>1</v>
      </c>
      <c r="N8" s="115" t="n">
        <v>2141000</v>
      </c>
      <c r="O8" s="115" t="n">
        <v>2190500</v>
      </c>
      <c r="P8" s="113">
        <f>C8-O8</f>
        <v/>
      </c>
      <c r="R8" s="20" t="n"/>
    </row>
    <row r="9" ht="14.4" customHeight="1" s="102">
      <c r="A9" s="13">
        <f>IF(B9="","-",IF(COUNTIF(E.DETACHED!B:B,B9)+COUNTIF('A.S.PRINTOUT'!B:B,B9)&gt;1,COUNTIF(E.DETACHED!B:B,B9)+COUNTIF('A.S.PRINTOUT'!B:B,B9)-1,"-"))</f>
        <v/>
      </c>
      <c r="B9" s="19" t="inlineStr">
        <is>
          <t>4623 NAPIER STREET</t>
        </is>
      </c>
      <c r="C9" s="113" t="n">
        <v>2575000</v>
      </c>
      <c r="D9" s="113" t="n">
        <v>2599000</v>
      </c>
      <c r="E9" s="24" t="n">
        <v>45822</v>
      </c>
      <c r="F9" s="21" t="n">
        <v>11</v>
      </c>
      <c r="G9" s="21" t="n">
        <v>4</v>
      </c>
      <c r="H9" s="21" t="n">
        <v>1953</v>
      </c>
      <c r="I9" s="22" t="n">
        <v>6100</v>
      </c>
      <c r="J9" s="21" t="n">
        <v>5</v>
      </c>
      <c r="K9" s="21" t="n">
        <v>4</v>
      </c>
      <c r="L9" s="22" t="n">
        <v>2837</v>
      </c>
      <c r="M9" s="21" t="n">
        <v>2</v>
      </c>
      <c r="N9" s="115" t="n">
        <v>1866000</v>
      </c>
      <c r="O9" s="115" t="n">
        <v>2303000</v>
      </c>
      <c r="P9" s="113">
        <f>C9-O9</f>
        <v/>
      </c>
      <c r="R9" s="20" t="n"/>
    </row>
    <row r="10" ht="14.4" customHeight="1" s="102">
      <c r="A10" s="13">
        <f>IF(B10="","-",IF(COUNTIF(E.DETACHED!B:B,B10)+COUNTIF('A.S.PRINTOUT'!B:B,B10)&gt;1,COUNTIF(E.DETACHED!B:B,B10)+COUNTIF('A.S.PRINTOUT'!B:B,B10)-1,"-"))</f>
        <v/>
      </c>
      <c r="B10" s="19" t="inlineStr">
        <is>
          <t>4819 FAIRLAWN DRIVE</t>
        </is>
      </c>
      <c r="C10" s="113" t="n">
        <v>2180000</v>
      </c>
      <c r="D10" s="113" t="n">
        <v>2299000</v>
      </c>
      <c r="E10" s="24" t="n">
        <v>45788</v>
      </c>
      <c r="F10" s="21" t="n">
        <v>6</v>
      </c>
      <c r="G10" s="21" t="n">
        <v>1</v>
      </c>
      <c r="H10" s="21" t="n">
        <v>1957</v>
      </c>
      <c r="I10" s="22" t="n">
        <v>7320</v>
      </c>
      <c r="J10" s="21" t="n">
        <v>4</v>
      </c>
      <c r="K10" s="21" t="n">
        <v>2</v>
      </c>
      <c r="L10" s="22" t="n">
        <v>3550</v>
      </c>
      <c r="M10" s="21" t="n">
        <v>1</v>
      </c>
      <c r="N10" s="115" t="n">
        <v>1996000</v>
      </c>
      <c r="O10" s="115" t="n">
        <v>2070800</v>
      </c>
      <c r="P10" s="113">
        <f>C10-O10</f>
        <v/>
      </c>
      <c r="R10" s="20" t="n"/>
    </row>
    <row r="11" ht="14.4" customHeight="1" s="102">
      <c r="A11" s="13">
        <f>IF(B11="","-",IF(COUNTIF(E.DETACHED!B:B,B11)+COUNTIF('A.S.PRINTOUT'!B:B,B11)&gt;1,COUNTIF(E.DETACHED!B:B,B11)+COUNTIF('A.S.PRINTOUT'!B:B,B11)-1,"-"))</f>
        <v/>
      </c>
      <c r="B11" s="19" t="inlineStr">
        <is>
          <t>4720 SOUTHLAWN DRIVE</t>
        </is>
      </c>
      <c r="C11" s="113" t="n">
        <v>2140000</v>
      </c>
      <c r="D11" s="113" t="n">
        <v>2320000</v>
      </c>
      <c r="E11" s="24" t="n">
        <v>45755</v>
      </c>
      <c r="F11" s="21" t="n">
        <v>7</v>
      </c>
      <c r="G11" s="21" t="n">
        <v>1</v>
      </c>
      <c r="H11" s="21" t="n">
        <v>1954</v>
      </c>
      <c r="I11" s="22" t="n">
        <v>6307</v>
      </c>
      <c r="J11" s="21" t="n">
        <v>4</v>
      </c>
      <c r="K11" s="21" t="n">
        <v>2</v>
      </c>
      <c r="L11" s="22" t="n">
        <v>2278</v>
      </c>
      <c r="M11" s="21" t="n">
        <v>2</v>
      </c>
      <c r="N11" s="115" t="n">
        <v>1990000</v>
      </c>
      <c r="O11" s="115" t="n">
        <v>2044100</v>
      </c>
      <c r="P11" s="113">
        <f>C11-O11</f>
        <v/>
      </c>
      <c r="R11" s="20" t="n"/>
    </row>
    <row r="12" ht="14.4" customHeight="1" s="102">
      <c r="A12" s="13">
        <f>IF(B12="","-",IF(COUNTIF(E.DETACHED!B:B,B12)+COUNTIF('A.S.PRINTOUT'!B:B,B12)&gt;1,COUNTIF(E.DETACHED!B:B,B12)+COUNTIF('A.S.PRINTOUT'!B:B,B12)-1,"-"))</f>
        <v/>
      </c>
      <c r="B12" s="19" t="inlineStr">
        <is>
          <t>4780 BRENTLAWN DRIVE</t>
        </is>
      </c>
      <c r="C12" s="113" t="n">
        <v>2090000</v>
      </c>
      <c r="D12" s="113" t="n">
        <v>2150000</v>
      </c>
      <c r="E12" s="24" t="n">
        <v>45705</v>
      </c>
      <c r="F12" s="21" t="n">
        <v>19</v>
      </c>
      <c r="G12" s="21" t="n">
        <v>1</v>
      </c>
      <c r="H12" s="21" t="n">
        <v>1953</v>
      </c>
      <c r="I12" s="22" t="n">
        <v>6588</v>
      </c>
      <c r="J12" s="21" t="n">
        <v>4</v>
      </c>
      <c r="K12" s="21" t="n">
        <v>2</v>
      </c>
      <c r="L12" s="22" t="n">
        <v>1970</v>
      </c>
      <c r="M12" s="21" t="n">
        <v>1</v>
      </c>
      <c r="N12" s="115" t="n">
        <v>1927000</v>
      </c>
      <c r="O12" s="115" t="n">
        <v>1976100</v>
      </c>
      <c r="P12" s="113">
        <f>C12-O12</f>
        <v/>
      </c>
      <c r="R12" s="20" t="n"/>
    </row>
    <row r="13" ht="14.4" customHeight="1" s="102">
      <c r="A13" s="13">
        <f>IF(B13="","-",IF(COUNTIF(E.DETACHED!B:B,B13)+COUNTIF('A.S.PRINTOUT'!B:B,B13)&gt;1,COUNTIF(E.DETACHED!B:B,B13)+COUNTIF('A.S.PRINTOUT'!B:B,B13)-1,"-"))</f>
        <v/>
      </c>
      <c r="B13" s="19" t="inlineStr">
        <is>
          <t>4624 ALPHA DRIVE</t>
        </is>
      </c>
      <c r="C13" s="113" t="n">
        <v>2100000</v>
      </c>
      <c r="D13" s="113" t="n">
        <v>1998000</v>
      </c>
      <c r="E13" s="24" t="n">
        <v>45684</v>
      </c>
      <c r="F13" s="21" t="n">
        <v>7</v>
      </c>
      <c r="G13" s="21" t="n">
        <v>1</v>
      </c>
      <c r="H13" s="21" t="n">
        <v>1956</v>
      </c>
      <c r="I13" s="22" t="n">
        <v>6348</v>
      </c>
      <c r="J13" s="21" t="n">
        <v>4</v>
      </c>
      <c r="K13" s="21" t="n">
        <v>2</v>
      </c>
      <c r="L13" s="22" t="n">
        <v>2526</v>
      </c>
      <c r="M13" s="21" t="n">
        <v>2</v>
      </c>
      <c r="N13" s="115" t="n">
        <v>1900000</v>
      </c>
      <c r="O13" s="115" t="n">
        <v>1952100</v>
      </c>
      <c r="P13" s="113">
        <f>C13-O13</f>
        <v/>
      </c>
      <c r="R13" s="20" t="n"/>
    </row>
    <row r="14" ht="14.4" customHeight="1" s="102">
      <c r="A14" s="13">
        <f>IF(B14="","-",IF(COUNTIF(E.DETACHED!B:B,B14)+COUNTIF('A.S.PRINTOUT'!B:B,B14)&gt;1,COUNTIF(E.DETACHED!B:B,B14)+COUNTIF('A.S.PRINTOUT'!B:B,B14)-1,"-"))</f>
        <v/>
      </c>
      <c r="B14" s="19" t="inlineStr">
        <is>
          <t>4260 GRAVELEY STREET</t>
        </is>
      </c>
      <c r="C14" s="113" t="n">
        <v>1480000</v>
      </c>
      <c r="D14" s="113" t="n">
        <v>1499900</v>
      </c>
      <c r="E14" s="24" t="n">
        <v>45678</v>
      </c>
      <c r="F14" s="21" t="n">
        <v>41</v>
      </c>
      <c r="G14" s="21" t="n">
        <v>2</v>
      </c>
      <c r="H14" s="21" t="n">
        <v>1987</v>
      </c>
      <c r="I14" s="22" t="n">
        <v>4136</v>
      </c>
      <c r="J14" s="21" t="n">
        <v>3</v>
      </c>
      <c r="K14" s="21" t="n">
        <v>3</v>
      </c>
      <c r="L14" s="22" t="n">
        <v>2356</v>
      </c>
      <c r="M14" s="21" t="n">
        <v>1</v>
      </c>
      <c r="N14" s="115" t="n">
        <v>1409000</v>
      </c>
      <c r="O14" s="115" t="n">
        <v>1679000</v>
      </c>
      <c r="P14" s="113">
        <f>C14-O14</f>
        <v/>
      </c>
      <c r="R14" s="20" t="n"/>
    </row>
    <row r="15" ht="15" customHeight="1" s="102">
      <c r="B15" s="14">
        <f t="array" ref="B15">SUMPRODUCT(--(LEN(TRIM(B7:B14))&gt;0))</f>
        <v/>
      </c>
    </row>
    <row r="16" ht="14.4" customHeight="1" s="102">
      <c r="A16" s="13">
        <f>IF(B15="","-",IF(COUNTIF(E.DETACHED!B:B,B15)+COUNTIF('A.S.PRINTOUT'!B:B,B15)&gt;1,COUNTIF(E.DETACHED!B:B,B15)+COUNTIF('A.S.PRINTOUT'!B:B,B15)-1,"-"))</f>
        <v/>
      </c>
      <c r="E16" s="21" t="n"/>
      <c r="F16" s="21" t="n"/>
      <c r="G16" s="21" t="n"/>
      <c r="H16" s="21" t="n"/>
      <c r="I16" s="22" t="n"/>
      <c r="J16" s="21" t="n"/>
      <c r="K16" s="21" t="n"/>
      <c r="L16" s="21" t="n"/>
      <c r="M16" s="21" t="n"/>
      <c r="N16" s="25" t="n"/>
      <c r="O16" s="25" t="n"/>
    </row>
    <row r="17" ht="14.4" customHeight="1" s="102">
      <c r="A17" s="13">
        <f>IF(B17="","-",IF(COUNTIF(E.DETACHED!B:B,B17)+COUNTIF('A.S.PRINTOUT'!B:B,B17)&gt;1,COUNTIF(E.DETACHED!B:B,B17)+COUNTIF('A.S.PRINTOUT'!B:B,B17)-1,"-"))</f>
        <v/>
      </c>
      <c r="B17" s="19" t="inlineStr">
        <is>
          <t>4823 WESTLAWN DRIVE</t>
        </is>
      </c>
      <c r="C17" s="113" t="n">
        <v>2018000</v>
      </c>
      <c r="D17" s="113" t="n">
        <v>2150000</v>
      </c>
      <c r="E17" s="24" t="n">
        <v>45644</v>
      </c>
      <c r="F17" s="21" t="n">
        <v>17</v>
      </c>
      <c r="G17" s="21" t="n">
        <v>2</v>
      </c>
      <c r="H17" s="21" t="n">
        <v>1956</v>
      </c>
      <c r="I17" s="22" t="n">
        <v>6344</v>
      </c>
      <c r="J17" s="21" t="n">
        <v>5</v>
      </c>
      <c r="K17" s="21" t="n">
        <v>2</v>
      </c>
      <c r="L17" s="22" t="n">
        <v>2059</v>
      </c>
      <c r="M17" s="21" t="n">
        <v>1</v>
      </c>
      <c r="N17" s="115" t="n">
        <v>1907000</v>
      </c>
      <c r="O17" s="115" t="n">
        <v>1989900</v>
      </c>
      <c r="P17" s="113">
        <f>C17-O17</f>
        <v/>
      </c>
      <c r="R17" s="20" t="n"/>
    </row>
    <row r="18" ht="14.4" customHeight="1" s="102">
      <c r="A18" s="13">
        <f>IF(B18="","-",IF(COUNTIF(E.DETACHED!B:B,B18)+COUNTIF('A.S.PRINTOUT'!B:B,B18)&gt;1,COUNTIF(E.DETACHED!B:B,B18)+COUNTIF('A.S.PRINTOUT'!B:B,B18)-1,"-"))</f>
        <v/>
      </c>
      <c r="B18" s="19" t="inlineStr">
        <is>
          <t>4702 PARKER STREET</t>
        </is>
      </c>
      <c r="C18" s="113" t="n">
        <v>2040000</v>
      </c>
      <c r="D18" s="113" t="n">
        <v>2150000</v>
      </c>
      <c r="E18" s="24" t="n">
        <v>45635</v>
      </c>
      <c r="F18" s="21" t="n">
        <v>77</v>
      </c>
      <c r="G18" s="21" t="n">
        <v>2</v>
      </c>
      <c r="H18" s="21" t="n">
        <v>1959</v>
      </c>
      <c r="I18" s="22" t="n">
        <v>7076</v>
      </c>
      <c r="J18" s="21" t="n">
        <v>7</v>
      </c>
      <c r="K18" s="21" t="n">
        <v>5</v>
      </c>
      <c r="L18" s="22" t="n">
        <v>3272</v>
      </c>
      <c r="M18" s="21" t="n">
        <v>2</v>
      </c>
      <c r="N18" s="115" t="n">
        <v>1810000</v>
      </c>
      <c r="O18" s="115" t="n">
        <v>1946000</v>
      </c>
      <c r="P18" s="113">
        <f>C18-O18</f>
        <v/>
      </c>
      <c r="R18" s="20" t="n"/>
    </row>
    <row r="19" ht="14.4" customHeight="1" s="102">
      <c r="A19" s="13">
        <f>IF(B19="","-",IF(COUNTIF(E.DETACHED!B:B,B19)+COUNTIF('A.S.PRINTOUT'!B:B,B19)&gt;1,COUNTIF(E.DETACHED!B:B,B19)+COUNTIF('A.S.PRINTOUT'!B:B,B19)-1,"-"))</f>
        <v/>
      </c>
      <c r="B19" s="19" t="inlineStr">
        <is>
          <t>4547 MIDLAWN DRIVE</t>
        </is>
      </c>
      <c r="C19" s="113" t="n">
        <v>2125000</v>
      </c>
      <c r="D19" s="113" t="n">
        <v>1999900</v>
      </c>
      <c r="E19" s="24" t="n">
        <v>45622</v>
      </c>
      <c r="F19" s="21" t="n">
        <v>12</v>
      </c>
      <c r="G19" s="21" t="n">
        <v>1</v>
      </c>
      <c r="H19" s="21" t="n">
        <v>1955</v>
      </c>
      <c r="I19" s="22" t="n">
        <v>6344</v>
      </c>
      <c r="J19" s="21" t="n">
        <v>3</v>
      </c>
      <c r="K19" s="21" t="n">
        <v>2</v>
      </c>
      <c r="L19" s="22" t="n">
        <v>2412</v>
      </c>
      <c r="M19" s="21" t="n">
        <v>1</v>
      </c>
      <c r="N19" s="115" t="n">
        <v>1894000</v>
      </c>
      <c r="O19" s="115" t="n">
        <v>1945700</v>
      </c>
      <c r="P19" s="113">
        <f>C19-O19</f>
        <v/>
      </c>
      <c r="R19" s="20" t="n"/>
    </row>
    <row r="20" ht="14.4" customHeight="1" s="102">
      <c r="A20" s="13">
        <f>IF(B20="","-",IF(COUNTIF(E.DETACHED!B:B,B20)+COUNTIF('A.S.PRINTOUT'!B:B,B20)&gt;1,COUNTIF(E.DETACHED!B:B,B20)+COUNTIF('A.S.PRINTOUT'!B:B,B20)-1,"-"))</f>
        <v/>
      </c>
      <c r="B20" s="19" t="inlineStr">
        <is>
          <t>1387 SPRINGER AVENUE</t>
        </is>
      </c>
      <c r="C20" s="113" t="n">
        <v>2420000</v>
      </c>
      <c r="D20" s="113" t="n">
        <v>2499900</v>
      </c>
      <c r="E20" s="24" t="n">
        <v>45607</v>
      </c>
      <c r="F20" s="21" t="n">
        <v>7</v>
      </c>
      <c r="G20" s="21" t="n">
        <v>1</v>
      </c>
      <c r="H20" s="21" t="n">
        <v>1989</v>
      </c>
      <c r="I20" s="22" t="n">
        <v>7866</v>
      </c>
      <c r="J20" s="21" t="n">
        <v>6</v>
      </c>
      <c r="K20" s="21" t="n">
        <v>5</v>
      </c>
      <c r="L20" s="22" t="n">
        <v>4737</v>
      </c>
      <c r="M20" s="21" t="n">
        <v>2</v>
      </c>
      <c r="N20" s="115" t="n">
        <v>1782000</v>
      </c>
      <c r="O20" s="115" t="n">
        <v>2386000</v>
      </c>
      <c r="P20" s="113">
        <f>C20-O20</f>
        <v/>
      </c>
      <c r="R20" s="20" t="n"/>
    </row>
    <row r="21" ht="14.4" customHeight="1" s="102">
      <c r="A21" s="13">
        <f>IF(B21="","-",IF(COUNTIF(E.DETACHED!B:B,B21)+COUNTIF('A.S.PRINTOUT'!B:B,B21)&gt;1,COUNTIF(E.DETACHED!B:B,B21)+COUNTIF('A.S.PRINTOUT'!B:B,B21)-1,"-"))</f>
        <v/>
      </c>
      <c r="B21" s="19" t="inlineStr">
        <is>
          <t>4830 WESTLAWN DRIVE</t>
        </is>
      </c>
      <c r="C21" s="113" t="n">
        <v>2000000</v>
      </c>
      <c r="D21" s="113" t="n">
        <v>1998000</v>
      </c>
      <c r="E21" s="24" t="n">
        <v>45600</v>
      </c>
      <c r="F21" s="21" t="n">
        <v>7</v>
      </c>
      <c r="G21" s="21" t="n">
        <v>1</v>
      </c>
      <c r="H21" s="21" t="n">
        <v>1958</v>
      </c>
      <c r="I21" s="22" t="n">
        <v>6710</v>
      </c>
      <c r="J21" s="21" t="n">
        <v>3</v>
      </c>
      <c r="K21" s="21" t="n">
        <v>2</v>
      </c>
      <c r="L21" s="22" t="n">
        <v>2544</v>
      </c>
      <c r="M21" s="21" t="n">
        <v>1</v>
      </c>
      <c r="N21" s="115" t="n">
        <v>1937000</v>
      </c>
      <c r="O21" s="115" t="n">
        <v>1990700</v>
      </c>
      <c r="P21" s="113">
        <f>C21-O21</f>
        <v/>
      </c>
      <c r="R21" s="20" t="n"/>
    </row>
    <row r="22" ht="14.4" customHeight="1" s="102">
      <c r="A22" s="13">
        <f>IF(B22="","-",IF(COUNTIF(E.DETACHED!B:B,B22)+COUNTIF('A.S.PRINTOUT'!B:B,B22)&gt;1,COUNTIF(E.DETACHED!B:B,B22)+COUNTIF('A.S.PRINTOUT'!B:B,B22)-1,"-"))</f>
        <v/>
      </c>
      <c r="B22" s="19" t="inlineStr">
        <is>
          <t>1695 TARALAWN COURT</t>
        </is>
      </c>
      <c r="C22" s="113" t="n">
        <v>2147500</v>
      </c>
      <c r="D22" s="113" t="n">
        <v>2250000</v>
      </c>
      <c r="E22" s="24" t="n">
        <v>45565</v>
      </c>
      <c r="F22" s="21" t="n">
        <v>13</v>
      </c>
      <c r="G22" s="21" t="n">
        <v>1</v>
      </c>
      <c r="H22" s="21" t="n">
        <v>1966</v>
      </c>
      <c r="I22" s="22" t="n">
        <v>7020</v>
      </c>
      <c r="J22" s="21" t="n">
        <v>5</v>
      </c>
      <c r="K22" s="21" t="n">
        <v>3</v>
      </c>
      <c r="L22" s="22" t="n">
        <v>2701</v>
      </c>
      <c r="M22" s="21" t="n">
        <v>1</v>
      </c>
      <c r="N22" s="115" t="n">
        <v>1946000</v>
      </c>
      <c r="O22" s="115" t="n">
        <v>2040800</v>
      </c>
      <c r="P22" s="113">
        <f>C22-O22</f>
        <v/>
      </c>
      <c r="R22" s="20" t="n"/>
    </row>
    <row r="23" ht="14.4" customHeight="1" s="102">
      <c r="A23" s="13">
        <f>IF(B23="","-",IF(COUNTIF(E.DETACHED!B:B,B23)+COUNTIF('A.S.PRINTOUT'!B:B,B23)&gt;1,COUNTIF(E.DETACHED!B:B,B23)+COUNTIF('A.S.PRINTOUT'!B:B,B23)-1,"-"))</f>
        <v/>
      </c>
      <c r="B23" s="19" t="inlineStr">
        <is>
          <t>4841 RIDGELAWN DRIVE</t>
        </is>
      </c>
      <c r="C23" s="113" t="n">
        <v>2086000</v>
      </c>
      <c r="D23" s="113" t="n">
        <v>2099900</v>
      </c>
      <c r="E23" s="24" t="n">
        <v>45558</v>
      </c>
      <c r="F23" s="21" t="n">
        <v>48</v>
      </c>
      <c r="G23" s="21" t="n">
        <v>2</v>
      </c>
      <c r="H23" s="21" t="n">
        <v>1955</v>
      </c>
      <c r="I23" s="22" t="n">
        <v>6655</v>
      </c>
      <c r="J23" s="21" t="n">
        <v>4</v>
      </c>
      <c r="K23" s="21" t="n">
        <v>2</v>
      </c>
      <c r="L23" s="22" t="n">
        <v>2489</v>
      </c>
      <c r="M23" s="21" t="n">
        <v>1</v>
      </c>
      <c r="N23" s="115" t="n">
        <v>2025000</v>
      </c>
      <c r="O23" s="115" t="n">
        <v>2080400</v>
      </c>
      <c r="P23" s="113">
        <f>C23-O23</f>
        <v/>
      </c>
      <c r="R23" s="20" t="n"/>
    </row>
    <row r="24" ht="14.4" customHeight="1" s="102">
      <c r="A24" s="13">
        <f>IF(B24="","-",IF(COUNTIF(E.DETACHED!B:B,B24)+COUNTIF('A.S.PRINTOUT'!B:B,B24)&gt;1,COUNTIF(E.DETACHED!B:B,B24)+COUNTIF('A.S.PRINTOUT'!B:B,B24)-1,"-"))</f>
        <v/>
      </c>
      <c r="B24" s="19" t="n"/>
      <c r="C24" s="113" t="n"/>
      <c r="D24" s="113" t="n"/>
      <c r="E24" s="24" t="n"/>
      <c r="F24" s="21" t="n"/>
      <c r="G24" s="21" t="n"/>
      <c r="H24" s="21" t="n"/>
      <c r="I24" s="22" t="n"/>
      <c r="J24" s="21" t="n"/>
      <c r="K24" s="21" t="n"/>
      <c r="L24" s="22" t="n"/>
      <c r="M24" s="21" t="n"/>
      <c r="N24" s="115" t="n"/>
      <c r="O24" s="115" t="n"/>
      <c r="P24" s="113" t="n"/>
      <c r="R24" s="20" t="n"/>
    </row>
    <row r="25" ht="15.75" customHeight="1" s="102" thickBot="1">
      <c r="A25" s="13">
        <f>IF(B25="","-",IF(COUNTIF(E.DETACHED!B:B,B25)+COUNTIF('A.S.PRINTOUT'!B:B,B25)&gt;1,COUNTIF(E.DETACHED!B:B,B25)+COUNTIF('A.S.PRINTOUT'!B:B,B25)-1,"-"))</f>
        <v/>
      </c>
      <c r="B25" s="26" t="n"/>
      <c r="E25" s="21" t="n"/>
      <c r="F25" s="21" t="n"/>
      <c r="G25" s="21" t="n"/>
      <c r="H25" s="21" t="n"/>
      <c r="I25" s="21" t="n"/>
      <c r="J25" s="21" t="n"/>
      <c r="K25" s="22" t="n"/>
      <c r="L25" s="21" t="n"/>
      <c r="M25" s="21" t="n"/>
      <c r="N25" s="25" t="n"/>
      <c r="O25" s="116" t="n"/>
    </row>
    <row r="26" ht="15.75" customHeight="1" s="102">
      <c r="A26" s="13">
        <f>IF(B26="","-",IF(COUNTIF(E.DETACHED!B:B,B26)+COUNTIF('A.S.PRINTOUT'!B:B,B26)&gt;1,COUNTIF(E.DETACHED!B:B,B26)+COUNTIF('A.S.PRINTOUT'!B:B,B26)-1,"-"))</f>
        <v/>
      </c>
      <c r="B26" s="3" t="inlineStr">
        <is>
          <t>x - Address</t>
        </is>
      </c>
      <c r="C26" s="4" t="inlineStr">
        <is>
          <t>Expiry</t>
        </is>
      </c>
      <c r="D26" s="6" t="inlineStr">
        <is>
          <t>List</t>
        </is>
      </c>
      <c r="E26" s="6" t="inlineStr">
        <is>
          <t>L.Date</t>
        </is>
      </c>
      <c r="F26" s="6" t="inlineStr">
        <is>
          <t>DOM</t>
        </is>
      </c>
      <c r="G26" s="7" t="inlineStr">
        <is>
          <t>List#</t>
        </is>
      </c>
      <c r="H26" s="8" t="inlineStr">
        <is>
          <t>Build</t>
        </is>
      </c>
      <c r="I26" s="9" t="inlineStr">
        <is>
          <t>Lot Size</t>
        </is>
      </c>
      <c r="J26" s="9" t="inlineStr">
        <is>
          <t>Bed</t>
        </is>
      </c>
      <c r="K26" s="9" t="inlineStr">
        <is>
          <t>Bath</t>
        </is>
      </c>
      <c r="L26" s="8" t="inlineStr">
        <is>
          <t>Sqft</t>
        </is>
      </c>
      <c r="M26" s="9" t="inlineStr">
        <is>
          <t>Kitch</t>
        </is>
      </c>
      <c r="N26" s="110" t="inlineStr">
        <is>
          <t>Land</t>
        </is>
      </c>
      <c r="O26" s="117" t="inlineStr">
        <is>
          <t>Total ASS</t>
        </is>
      </c>
      <c r="P26" s="9" t="inlineStr">
        <is>
          <t>D.EXP</t>
        </is>
      </c>
    </row>
    <row r="27" ht="15.75" customHeight="1" s="102">
      <c r="A27" s="13">
        <f>IF(B27="","-",IF(COUNTIF(E.DETACHED!B:B,B27)+COUNTIF('A.S.PRINTOUT'!B:B,B27)&gt;1,COUNTIF(E.DETACHED!B:B,B27)+COUNTIF('A.S.PRINTOUT'!B:B,B27)-1,"-"))</f>
        <v/>
      </c>
      <c r="B27" s="29" t="inlineStr">
        <is>
          <t>CURRENT ACTIVES</t>
        </is>
      </c>
      <c r="C27" s="9" t="n"/>
      <c r="D27" s="8" t="n"/>
      <c r="E27" s="8" t="n"/>
      <c r="F27" s="8" t="n"/>
      <c r="G27" s="9" t="n"/>
      <c r="H27" s="8" t="n"/>
      <c r="I27" s="9" t="n"/>
      <c r="J27" s="9" t="n"/>
      <c r="K27" s="9" t="n"/>
      <c r="L27" s="8" t="n"/>
      <c r="M27" s="9" t="n"/>
      <c r="N27" s="109" t="n"/>
      <c r="O27" s="109" t="n"/>
      <c r="P27" s="9" t="n"/>
    </row>
    <row r="28" ht="15.75" customHeight="1" s="102">
      <c r="A28" s="13">
        <f>IF(B28="","-",IF(COUNTIF(E.DETACHED!B:B,B28)+COUNTIF('A.S.PRINTOUT'!B:B,B28)&gt;1,COUNTIF(E.DETACHED!B:B,B28)+COUNTIF('A.S.PRINTOUT'!B:B,B28)-1,"-"))</f>
        <v/>
      </c>
      <c r="B28" s="19" t="n"/>
      <c r="C28" s="21" t="n"/>
      <c r="D28" s="22" t="n"/>
      <c r="E28" s="22" t="n"/>
      <c r="F28" s="22" t="n"/>
      <c r="G28" s="21" t="n"/>
      <c r="H28" s="21" t="n"/>
      <c r="I28" s="21" t="n"/>
      <c r="J28" s="21" t="n"/>
      <c r="K28" s="21" t="n"/>
      <c r="L28" s="22" t="n"/>
      <c r="M28" s="21" t="n"/>
      <c r="N28" s="116" t="n"/>
      <c r="O28" s="116" t="n"/>
      <c r="P28" s="21" t="n"/>
    </row>
    <row r="29" ht="15.75" customHeight="1" s="102">
      <c r="A29" s="13">
        <f>IF(B29="","-",IF(COUNTIF(E.DETACHED!B:B,B29)+COUNTIF('A.S.PRINTOUT'!B:B,B29)&gt;1,COUNTIF(E.DETACHED!B:B,B29)+COUNTIF('A.S.PRINTOUT'!B:B,B29)-1,"-"))</f>
        <v/>
      </c>
      <c r="B29" s="19" t="inlineStr">
        <is>
          <t>4645 BRENTLAWN DRIVE</t>
        </is>
      </c>
      <c r="C29" s="19" t="inlineStr">
        <is>
          <t>3/31/2026</t>
        </is>
      </c>
      <c r="D29" s="113" t="n">
        <v>4000000</v>
      </c>
      <c r="E29" s="31" t="inlineStr">
        <is>
          <t>3/20/2025</t>
        </is>
      </c>
      <c r="F29" s="22">
        <f>IF(E29="","",MAX(0, TODAY() -
  IF(ISNUMBER(E29),
     E29,
     IFERROR(
        DATEVALUE(SUBSTITUTE(E29,CHAR(160)," ")),
        DATE(VALUE(RIGHT(E29,4)),
             VALUE(LEFT(E29,FIND("/",E29)-1)),
             VALUE(MID(E29,FIND("/",E29)+1, FIND("/",E29, FIND("/",E29)+1)-FIND("/",E29)-1))
        )
     )
  )
))</f>
        <v/>
      </c>
      <c r="G29" s="21" t="n">
        <v>1</v>
      </c>
      <c r="H29" s="21" t="n">
        <v>1954</v>
      </c>
      <c r="I29" s="21" t="n">
        <v>6466</v>
      </c>
      <c r="J29" s="21" t="n">
        <v>4</v>
      </c>
      <c r="K29" s="21" t="n">
        <v>4</v>
      </c>
      <c r="L29" s="22" t="n">
        <v>2024</v>
      </c>
      <c r="M29" s="21" t="n">
        <v>3</v>
      </c>
      <c r="N29" s="115" t="n">
        <v>1816000</v>
      </c>
      <c r="O29" s="115" t="n">
        <v>1931000</v>
      </c>
      <c r="P29" s="30">
        <f>IF(C29="","",
   IF(ISNUMBER(C29),
      _xlfn.LET(_xlpm.days, C29 - TODAY(), IF(_xlpm.days&lt;0, "Expired", _xlpm.days)),
      _xlfn.LET(
         _xlpm.txt, C29,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T29" s="19" t="n"/>
    </row>
    <row r="30" ht="15.75" customHeight="1" s="102">
      <c r="A30" s="13">
        <f>IF(B30="","-",IF(COUNTIF(E.DETACHED!B:B,B30)+COUNTIF('A.S.PRINTOUT'!B:B,B30)&gt;1,COUNTIF(E.DETACHED!B:B,B30)+COUNTIF('A.S.PRINTOUT'!B:B,B30)-1,"-"))</f>
        <v/>
      </c>
      <c r="B30" s="19" t="inlineStr">
        <is>
          <t>1250 DELTA AVENUE</t>
        </is>
      </c>
      <c r="C30" s="91" t="n">
        <v>46229</v>
      </c>
      <c r="D30" s="114" t="n">
        <v>1795000</v>
      </c>
      <c r="E30" s="91" t="n">
        <v>46048</v>
      </c>
      <c r="F30" s="22">
        <f>IF(E30="","",MAX(0, TODAY() -
IF(ISNUMBER(E30),
E30,
IFERROR(
DATEVALUE(SUBSTITUTE(E30,CHAR(160)," ")),
DATE(VALUE(RIGHT(E30,4)),
VALUE(LEFT(E30,FIND("/",E30)-1)),
VALUE(MID(E30,FIND("/",E30)+1, FIND("/",E30, FIND("/",E30)+1)-FIND("/",E30)-1))
)
)
)
))</f>
        <v/>
      </c>
      <c r="G30" s="21" t="n">
        <v>1</v>
      </c>
      <c r="H30" s="21" t="n">
        <v>1966</v>
      </c>
      <c r="I30" s="21" t="n">
        <v>7200</v>
      </c>
      <c r="J30" s="21" t="n">
        <v>4</v>
      </c>
      <c r="K30" s="21" t="n">
        <v>3</v>
      </c>
      <c r="L30" s="22" t="n">
        <v>2754</v>
      </c>
      <c r="M30" s="21" t="n">
        <v>1</v>
      </c>
      <c r="N30" s="25" t="n">
        <v>1767000</v>
      </c>
      <c r="O30" s="25" t="n">
        <v>1831400</v>
      </c>
      <c r="P30" s="30">
        <f>IF(C30="","",
IF(ISNUMBER(C30),
_xlfn.LET(_xlpm.days, C30 - TODAY(), IF(_xlpm.days&lt;0, "Expired", _xlpm.days)),
_xlfn.LET(
_xlpm.txt, C30,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T30" s="19" t="n"/>
    </row>
    <row r="31" ht="15.75" customHeight="1" s="102">
      <c r="A31" s="13">
        <f>IF(B31="","-",IF(COUNTIF(E.DETACHED!B:B,B31)+COUNTIF('A.S.PRINTOUT'!B:B,B31)&gt;1,COUNTIF(E.DETACHED!B:B,B31)+COUNTIF('A.S.PRINTOUT'!B:B,B31)-1,"-"))</f>
        <v/>
      </c>
      <c r="B31" s="19" t="n"/>
      <c r="C31" s="113" t="n"/>
      <c r="D31" s="113" t="n"/>
      <c r="E31" s="24" t="n"/>
      <c r="F31" s="22" t="n"/>
      <c r="G31" s="21" t="n"/>
      <c r="H31" s="21" t="n"/>
      <c r="I31" s="21" t="n"/>
      <c r="J31" s="21" t="n"/>
      <c r="K31" s="21" t="n"/>
      <c r="L31" s="22" t="n"/>
      <c r="M31" s="21" t="n"/>
      <c r="N31" s="25" t="n"/>
      <c r="O31" s="25" t="n"/>
      <c r="P31" s="30">
        <f>IF(C31="","",
IF(ISNUMBER(C31),
_xlfn.LET(_xlpm.days, C31 - TODAY(), IF(_xlpm.days&lt;0, "Expired", _xlpm.days)),
_xlfn.LET(
_xlpm.txt, C31,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T31" s="19" t="n"/>
    </row>
    <row r="32" ht="15.75" customHeight="1" s="102">
      <c r="A32" s="13">
        <f>IF(B32="","-",IF(COUNTIF(E.DETACHED!B:B,B32)+COUNTIF('A.S.PRINTOUT'!B:B,B32)&gt;1,COUNTIF(E.DETACHED!B:B,B32)+COUNTIF('A.S.PRINTOUT'!B:B,B32)-1,"-"))</f>
        <v/>
      </c>
      <c r="B32" s="33" t="inlineStr">
        <is>
          <t>4810 FAIRLAWN DRIVE</t>
        </is>
      </c>
      <c r="C32" s="20" t="n">
        <v>46203</v>
      </c>
      <c r="D32" s="113" t="n">
        <v>2049000</v>
      </c>
      <c r="E32" s="20" t="n">
        <v>46027</v>
      </c>
      <c r="F32" s="22">
        <f>IF(E32="","",MAX(0, TODAY() -
  IF(ISNUMBER(E32),
     E32,
     IFERROR(
        DATEVALUE(SUBSTITUTE(E32,CHAR(160)," ")),
        DATE(VALUE(RIGHT(E32,4)),
             VALUE(LEFT(E32,FIND("/",E32)-1)),
             VALUE(MID(E32,FIND("/",E32)+1, FIND("/",E32, FIND("/",E32)+1)-FIND("/",E32)-1))
        )
     )
  )
))</f>
        <v/>
      </c>
      <c r="G32" s="21" t="n">
        <v>1</v>
      </c>
      <c r="H32" s="21" t="n">
        <v>1956</v>
      </c>
      <c r="I32" s="21" t="n">
        <v>7320</v>
      </c>
      <c r="J32" s="21" t="n">
        <v>6</v>
      </c>
      <c r="K32" s="21" t="n">
        <v>2</v>
      </c>
      <c r="L32" s="22" t="n">
        <v>2582</v>
      </c>
      <c r="M32" s="21" t="n">
        <v>2</v>
      </c>
      <c r="N32" s="115" t="n">
        <v>1995000</v>
      </c>
      <c r="O32" s="115" t="n">
        <v>2049900</v>
      </c>
      <c r="P32" s="30">
        <f>IF(C32="","",
IF(ISNUMBER(C32),
_xlfn.LET(_xlpm.days, C32 - TODAY(), IF(_xlpm.days&lt;0, "Expired", _xlpm.days)),
_xlfn.LET(
_xlpm.txt, C32,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T32" s="19" t="n"/>
    </row>
    <row r="33" ht="15.75" customHeight="1" s="102">
      <c r="A33" s="13" t="n"/>
      <c r="B33" s="19" t="inlineStr">
        <is>
          <t>4824 FAIRLAWN DRIVE</t>
        </is>
      </c>
      <c r="C33" s="91" t="n">
        <v>46386</v>
      </c>
      <c r="D33" s="114" t="n">
        <v>2228000</v>
      </c>
      <c r="E33" s="91" t="n">
        <v>46100</v>
      </c>
      <c r="F33" s="22">
        <f>IF(E33="","",MAX(0, TODAY() -
IF(ISNUMBER(E33),
E33,
IFERROR(
DATEVALUE(SUBSTITUTE(E33,CHAR(160)," ")),
DATE(VALUE(RIGHT(E33,4)),
VALUE(LEFT(E33,FIND("/",E33)-1)),
VALUE(MID(E33,FIND("/",E33)+1, FIND("/",E33, FIND("/",E33)+1)-FIND("/",E33)-1))
)
)
)
))</f>
        <v/>
      </c>
      <c r="G33" s="21" t="n">
        <v>1</v>
      </c>
      <c r="H33" s="21" t="n">
        <v>1956</v>
      </c>
      <c r="I33" s="21" t="n">
        <v>7320</v>
      </c>
      <c r="J33" s="21" t="n">
        <v>6</v>
      </c>
      <c r="K33" s="21" t="n">
        <v>3</v>
      </c>
      <c r="L33" s="22" t="n">
        <v>2715</v>
      </c>
      <c r="M33" s="21" t="n">
        <v>3</v>
      </c>
      <c r="N33" s="115" t="n">
        <v>1996000</v>
      </c>
      <c r="O33" s="115" t="n">
        <v>2172000</v>
      </c>
      <c r="P33" s="30">
        <f>IF(C33="","",
IF(ISNUMBER(C33),
_xlfn.LET(_xlpm.days, C33 - TODAY(), IF(_xlpm.days&lt;0, "Expired", _xlpm.days)),
_xlfn.LET(
_xlpm.txt, C33,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T33" s="19" t="n"/>
    </row>
    <row r="34" ht="15" customHeight="1" s="102"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</row>
    <row r="35" ht="15" customHeight="1" s="102">
      <c r="A35" s="13">
        <f>IF(B35="","-",IF(COUNTIF(E.DETACHED!B:B,B35)+COUNTIF('A.S.PRINTOUT'!B:B,B35)&gt;1,COUNTIF(E.DETACHED!B:B,B35)+COUNTIF('A.S.PRINTOUT'!B:B,B35)-1,"-"))</f>
        <v/>
      </c>
      <c r="B35" t="inlineStr">
        <is>
          <t>4468 GRAVELEY STREET</t>
        </is>
      </c>
      <c r="C35" s="91" t="n">
        <v>46229</v>
      </c>
      <c r="D35" s="114" t="n">
        <v>1875000</v>
      </c>
      <c r="E35" s="91" t="n">
        <v>46048</v>
      </c>
      <c r="F35" s="22">
        <f>IF(E35="","",MAX(0, TODAY() -
IF(ISNUMBER(E35),
E35,
IFERROR(
DATEVALUE(SUBSTITUTE(E35,CHAR(160)," ")),
DATE(VALUE(RIGHT(E35,4)),
VALUE(LEFT(E35,FIND("/",E35)-1)),
VALUE(MID(E35,FIND("/",E35)+1, FIND("/",E35, FIND("/",E35)+1)-FIND("/",E35)-1))
)
)
)
))</f>
        <v/>
      </c>
      <c r="G35" s="21" t="n">
        <v>1</v>
      </c>
      <c r="H35" s="21" t="n">
        <v>1991</v>
      </c>
      <c r="I35" s="21" t="n">
        <v>3748</v>
      </c>
      <c r="J35" s="21" t="n">
        <v>4</v>
      </c>
      <c r="K35" s="21" t="n">
        <v>3</v>
      </c>
      <c r="L35" s="22" t="n">
        <v>2325</v>
      </c>
      <c r="M35" s="21" t="n">
        <v>2</v>
      </c>
      <c r="N35" s="21" t="n">
        <v>1316000</v>
      </c>
      <c r="O35" s="21" t="n">
        <v>1592000</v>
      </c>
      <c r="P35" s="30">
        <f>IF(C35="","",
IF(ISNUMBER(C35),
_xlfn.LET(_xlpm.days, C35 - TODAY(), IF(_xlpm.days&lt;0, "Expired", _xlpm.days)),
_xlfn.LET(
_xlpm.txt, C35,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</row>
    <row r="36" ht="15.75" customHeight="1" s="102">
      <c r="A36" s="13">
        <f>IF(B36="","-",IF(COUNTIF(E.DETACHED!B:B,B36)+COUNTIF('A.S.PRINTOUT'!B:B,B36)&gt;1,COUNTIF(E.DETACHED!B:B,B36)+COUNTIF('A.S.PRINTOUT'!B:B,B36)-1,"-"))</f>
        <v/>
      </c>
      <c r="B36" s="33" t="inlineStr">
        <is>
          <t>4871 HIGHLAWN DRIVE</t>
        </is>
      </c>
      <c r="C36" s="91" t="n">
        <v>46234</v>
      </c>
      <c r="D36" s="114" t="n">
        <v>2280000</v>
      </c>
      <c r="E36" s="91" t="n">
        <v>46045</v>
      </c>
      <c r="F36" s="22">
        <f>IF(E36="","",MAX(0, TODAY() -
  IF(ISNUMBER(E36),
     E36,
     IFERROR(
        DATEVALUE(SUBSTITUTE(E36,CHAR(160)," ")),
        DATE(VALUE(RIGHT(E36,4)),
             VALUE(LEFT(E36,FIND("/",E36)-1)),
             VALUE(MID(E36,FIND("/",E36)+1, FIND("/",E36, FIND("/",E36)+1)-FIND("/",E36)-1))
        )
     )
  )
))</f>
        <v/>
      </c>
      <c r="G36" s="21" t="n">
        <v>3</v>
      </c>
      <c r="H36" s="21" t="n">
        <v>1954</v>
      </c>
      <c r="I36" s="21" t="n">
        <v>2375</v>
      </c>
      <c r="J36" s="21" t="n">
        <v>6</v>
      </c>
      <c r="K36" s="21" t="n">
        <v>4</v>
      </c>
      <c r="L36" s="22" t="n">
        <v>2375</v>
      </c>
      <c r="M36" s="21" t="n">
        <v>2</v>
      </c>
      <c r="N36" s="115" t="n">
        <v>2120000</v>
      </c>
      <c r="O36" s="115" t="n">
        <v>2222000</v>
      </c>
      <c r="P36" s="30">
        <f>IF(C36="","",
   IF(ISNUMBER(C36),
      _xlfn.LET(_xlpm.days, C36 - TODAY(), IF(_xlpm.days&lt;0, "Expired", _xlpm.days)),
      _xlfn.LET(
         _xlpm.txt, C36,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R36" s="93" t="inlineStr">
        <is>
          <t>R3041486,</t>
        </is>
      </c>
      <c r="S36" t="inlineStr">
        <is>
          <t xml:space="preserve">YANYING ZHOU | MEI PAN </t>
        </is>
      </c>
      <c r="T36" s="19" t="inlineStr">
        <is>
          <t>#2102 - 7063 HALL AVENUE</t>
        </is>
      </c>
      <c r="U36" s="19" t="inlineStr">
        <is>
          <t>BURNABY, BC V5E 0A5</t>
        </is>
      </c>
      <c r="V36" s="19" t="inlineStr">
        <is>
          <t>T</t>
        </is>
      </c>
    </row>
    <row r="37" ht="15.75" customHeight="1" s="102">
      <c r="A37" s="13">
        <f>IF(B37="","-",IF(COUNTIF(E.DETACHED!B:B,B37)+COUNTIF('A.S.PRINTOUT'!B:B,B37)&gt;1,COUNTIF(E.DETACHED!B:B,B37)+COUNTIF('A.S.PRINTOUT'!B:B,B37)-1,"-"))</f>
        <v/>
      </c>
      <c r="B37" s="19" t="inlineStr">
        <is>
          <t>4881 SOUTHLAWN DRIVE</t>
        </is>
      </c>
      <c r="C37" s="91" t="n">
        <v>46356</v>
      </c>
      <c r="D37" s="114" t="n">
        <v>2280000</v>
      </c>
      <c r="E37" s="91" t="n">
        <v>46056</v>
      </c>
      <c r="F37" s="22">
        <f>IF(E37="","",MAX(0, TODAY() -
  IF(ISNUMBER(E37),
     E37,
     IFERROR(
        DATEVALUE(SUBSTITUTE(E37,CHAR(160)," ")),
        DATE(VALUE(RIGHT(E37,4)),
             VALUE(LEFT(E37,FIND("/",E37)-1)),
             VALUE(MID(E37,FIND("/",E37)+1, FIND("/",E37, FIND("/",E37)+1)-FIND("/",E37)-1))
        )
     )
  )
))</f>
        <v/>
      </c>
      <c r="G37" s="21" t="n">
        <v>1</v>
      </c>
      <c r="H37" s="21" t="n">
        <v>1995</v>
      </c>
      <c r="I37" s="21" t="n">
        <v>7564</v>
      </c>
      <c r="J37" s="21" t="n">
        <v>7</v>
      </c>
      <c r="K37" s="21" t="n">
        <v>6</v>
      </c>
      <c r="L37" s="22" t="n">
        <v>4020</v>
      </c>
      <c r="M37" s="21" t="n">
        <v>3</v>
      </c>
      <c r="N37" s="115" t="n">
        <v>1817000</v>
      </c>
      <c r="O37" s="115" t="n">
        <v>2440000</v>
      </c>
      <c r="P37" s="30">
        <f>IF(C37="","",
   IF(ISNUMBER(C37),
      _xlfn.LET(_xlpm.days, C37 - TODAY(), IF(_xlpm.days&lt;0, "Expired", _xlpm.days)),
      _xlfn.LET(
         _xlpm.txt, C37,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R37" s="95" t="inlineStr">
        <is>
          <t>R2951736,</t>
        </is>
      </c>
      <c r="S37" s="94" t="inlineStr">
        <is>
          <t>ROBERT TING | HOUNG SENG TING | LIZA JEAN LAI-JANG</t>
        </is>
      </c>
      <c r="T37" s="19" t="inlineStr">
        <is>
          <t>4881 SOUTHLAWN DRIVE</t>
        </is>
      </c>
      <c r="U37" s="19" t="inlineStr">
        <is>
          <t>BURNABY, BC V5C 3S7</t>
        </is>
      </c>
      <c r="V37" s="19" t="inlineStr">
        <is>
          <t>O</t>
        </is>
      </c>
      <c r="W37" s="94" t="inlineStr">
        <is>
          <t>LA</t>
        </is>
      </c>
    </row>
    <row r="38" ht="15.75" customHeight="1" s="102">
      <c r="A38" s="13">
        <f>IF(B38="","-",IF(COUNTIF(E.DETACHED!B:B,B38)+COUNTIF('A.S.PRINTOUT'!B:B,B38)&gt;1,COUNTIF(E.DETACHED!B:B,B38)+COUNTIF('A.S.PRINTOUT'!B:B,B38)-1,"-"))</f>
        <v/>
      </c>
      <c r="B38" s="19" t="inlineStr">
        <is>
          <t>4516 PARKER STREET</t>
        </is>
      </c>
      <c r="C38" s="19" t="inlineStr">
        <is>
          <t>5/30/2026</t>
        </is>
      </c>
      <c r="D38" s="113" t="n">
        <v>2050000</v>
      </c>
      <c r="E38" s="31" t="inlineStr">
        <is>
          <t>6/9/2025</t>
        </is>
      </c>
      <c r="F38" s="22">
        <f>IF(E38="","",MAX(0, TODAY() -
IF(ISNUMBER(E38),
E38,
IFERROR(
DATEVALUE(SUBSTITUTE(E38,CHAR(160)," ")),
DATE(VALUE(RIGHT(E38,4)),
VALUE(LEFT(E38,FIND("/",E38)-1)),
VALUE(MID(E38,FIND("/",E38)+1, FIND("/",E38, FIND("/",E38)+1)-FIND("/",E38)-1))
)
)
)
))</f>
        <v/>
      </c>
      <c r="G38" s="21" t="n">
        <v>1</v>
      </c>
      <c r="H38" s="21" t="n">
        <v>1949</v>
      </c>
      <c r="I38" s="21" t="n">
        <v>6222</v>
      </c>
      <c r="J38" s="21" t="n">
        <v>4</v>
      </c>
      <c r="K38" s="21" t="n">
        <v>0</v>
      </c>
      <c r="L38" s="22" t="n">
        <v>2184</v>
      </c>
      <c r="M38" s="21" t="n">
        <v>2</v>
      </c>
      <c r="N38" s="115" t="n">
        <v>1738000</v>
      </c>
      <c r="O38" s="115" t="n">
        <v>1859000</v>
      </c>
      <c r="P38" s="30">
        <f>IF(C38="","",
IF(ISNUMBER(C38),
_xlfn.LET(_xlpm.days, C38 - TODAY(), IF(_xlpm.days&lt;0, "Expired", _xlpm.days)),
_xlfn.LET(
_xlpm.txt, C38,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T38" s="19" t="n"/>
    </row>
    <row r="39" ht="15.75" customHeight="1" s="102">
      <c r="A39" s="13">
        <f>IF(B39="","-",IF(COUNTIF(E.DETACHED!B:B,B39)+COUNTIF('A.S.PRINTOUT'!B:B,B39)&gt;1,COUNTIF(E.DETACHED!B:B,B39)+COUNTIF('A.S.PRINTOUT'!B:B,B39)-1,"-"))</f>
        <v/>
      </c>
      <c r="B39" s="33" t="inlineStr">
        <is>
          <t>4734 PARKER STREET</t>
        </is>
      </c>
      <c r="C39" s="19" t="inlineStr">
        <is>
          <t>2/13/2026</t>
        </is>
      </c>
      <c r="D39" s="115" t="n">
        <v>1988000</v>
      </c>
      <c r="E39" s="31" t="inlineStr">
        <is>
          <t>8/13/2025</t>
        </is>
      </c>
      <c r="F39" s="22">
        <f>IF(E39="","",MAX(0, TODAY() -
IF(ISNUMBER(E39),
E39,
IFERROR(
DATEVALUE(SUBSTITUTE(E39,CHAR(160)," ")),
DATE(VALUE(RIGHT(E39,4)),
VALUE(LEFT(E39,FIND("/",E39)-1)),
VALUE(MID(E39,FIND("/",E39)+1, FIND("/",E39, FIND("/",E39)+1)-FIND("/",E39)-1))
)
)
)
))</f>
        <v/>
      </c>
      <c r="G39" s="21" t="n">
        <v>1</v>
      </c>
      <c r="H39" s="21" t="n">
        <v>1959</v>
      </c>
      <c r="I39" s="21" t="n">
        <v>6710</v>
      </c>
      <c r="J39" s="21" t="n">
        <v>6</v>
      </c>
      <c r="K39" s="21" t="n">
        <v>2</v>
      </c>
      <c r="L39" s="22" t="n">
        <v>3272</v>
      </c>
      <c r="M39" s="21" t="n">
        <v>2</v>
      </c>
      <c r="N39" s="115" t="n">
        <v>1780000</v>
      </c>
      <c r="O39" s="115" t="n">
        <v>1882000</v>
      </c>
      <c r="P39" s="30">
        <f>IF(C39="","",
IF(ISNUMBER(C39),
_xlfn.LET(_xlpm.days, C39 - TODAY(), IF(_xlpm.days&lt;0, "Expired", _xlpm.days)),
_xlfn.LET(
_xlpm.txt, C39,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T39" s="19" t="n"/>
    </row>
    <row r="40" ht="15" customHeight="1" s="102">
      <c r="A40" s="13">
        <f>IF(B40="","-",IF(COUNTIF(E.DETACHED!B:B,B40)+COUNTIF('A.S.PRINTOUT'!B:B,B40)&gt;1,COUNTIF(E.DETACHED!B:B,B40)+COUNTIF('A.S.PRINTOUT'!B:B,B40)-1,"-"))</f>
        <v/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30">
        <f>IF(C40="","",
IF(ISNUMBER(C40),
_xlfn.LET(_xlpm.days, C40 - TODAY(), IF(_xlpm.days&lt;0, "Expired", _xlpm.days)),
_xlfn.LET(
_xlpm.txt, C40,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</row>
    <row r="41" ht="15.75" customHeight="1" s="102">
      <c r="A41" s="13">
        <f>IF(B41="","-",IF(COUNTIF(E.DETACHED!B:B,B41)+COUNTIF('A.S.PRINTOUT'!B:B,B41)&gt;1,COUNTIF(E.DETACHED!B:B,B41)+COUNTIF('A.S.PRINTOUT'!B:B,B41)-1,"-"))</f>
        <v/>
      </c>
      <c r="B41" s="19" t="inlineStr">
        <is>
          <t>4701 RIDGELAWN DRIVE</t>
        </is>
      </c>
      <c r="C41" s="19" t="inlineStr">
        <is>
          <t>4/30/2026</t>
        </is>
      </c>
      <c r="D41" s="113" t="n">
        <v>5500000</v>
      </c>
      <c r="E41" s="24" t="n">
        <v>45778</v>
      </c>
      <c r="F41" s="22">
        <f>IF(E41="","",MAX(0, TODAY() -
  IF(ISNUMBER(E41),
     E41,
     IFERROR(
        DATEVALUE(SUBSTITUTE(E41,CHAR(160)," ")),
        DATE(VALUE(RIGHT(E41,4)),
             VALUE(LEFT(E41,FIND("/",E41)-1)),
             VALUE(MID(E41,FIND("/",E41)+1, FIND("/",E41, FIND("/",E41)+1)-FIND("/",E41)-1))
        )
     )
  )
))</f>
        <v/>
      </c>
      <c r="G41" s="21" t="n">
        <v>1</v>
      </c>
      <c r="H41" s="21" t="n">
        <v>1955</v>
      </c>
      <c r="I41" s="21" t="n">
        <v>7168</v>
      </c>
      <c r="J41" s="21" t="n">
        <v>4</v>
      </c>
      <c r="K41" s="21" t="n">
        <v>2</v>
      </c>
      <c r="L41" s="22" t="n">
        <v>2779</v>
      </c>
      <c r="M41" s="21" t="n">
        <v>2</v>
      </c>
      <c r="N41" s="115" t="n">
        <v>1982000</v>
      </c>
      <c r="O41" s="115" t="n">
        <v>2083000</v>
      </c>
      <c r="P41" s="30">
        <f>IF(C41="","",
IF(ISNUMBER(C41),
_xlfn.LET(_xlpm.days, C41 - TODAY(), IF(_xlpm.days&lt;0, "Expired", _xlpm.days)),
_xlfn.LET(
_xlpm.txt, C41,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Q41" t="inlineStr">
        <is>
          <t>LA</t>
        </is>
      </c>
      <c r="T41" s="19" t="n"/>
    </row>
    <row r="42" ht="15.75" customHeight="1" s="102">
      <c r="A42" s="13">
        <f>IF(B42="","-",IF(COUNTIF(E.DETACHED!B:B,B42)+COUNTIF('A.S.PRINTOUT'!B:B,B42)&gt;1,COUNTIF(E.DETACHED!B:B,B42)+COUNTIF('A.S.PRINTOUT'!B:B,B42)-1,"-"))</f>
        <v/>
      </c>
      <c r="B42" s="19" t="inlineStr">
        <is>
          <t>4711 RIDGELAWN DRIVE</t>
        </is>
      </c>
      <c r="C42" s="19" t="inlineStr">
        <is>
          <t>4/30/2026</t>
        </is>
      </c>
      <c r="D42" s="113" t="n">
        <v>5600000</v>
      </c>
      <c r="E42" s="24" t="n">
        <v>45778</v>
      </c>
      <c r="F42" s="22">
        <f>IF(E42="","",MAX(0, TODAY() -
  IF(ISNUMBER(E42),
     E42,
     IFERROR(
        DATEVALUE(SUBSTITUTE(E42,CHAR(160)," ")),
        DATE(VALUE(RIGHT(E42,4)),
             VALUE(LEFT(E42,FIND("/",E42)-1)),
             VALUE(MID(E42,FIND("/",E42)+1, FIND("/",E42, FIND("/",E42)+1)-FIND("/",E42)-1))
        )
     )
  )
))</f>
        <v/>
      </c>
      <c r="G42" s="21" t="n">
        <v>1</v>
      </c>
      <c r="H42" s="21" t="n">
        <v>1955</v>
      </c>
      <c r="I42" s="21" t="n">
        <v>7260</v>
      </c>
      <c r="J42" s="21" t="n">
        <v>4</v>
      </c>
      <c r="K42" s="21" t="n">
        <v>3</v>
      </c>
      <c r="L42" s="22" t="n">
        <v>2362</v>
      </c>
      <c r="M42" s="21" t="n">
        <v>2</v>
      </c>
      <c r="N42" s="115" t="n">
        <v>2091000</v>
      </c>
      <c r="O42" s="115" t="n">
        <v>2272000</v>
      </c>
      <c r="P42" s="30">
        <f>IF(C42="","",
   IF(ISNUMBER(C42),
      _xlfn.LET(_xlpm.days, C42 - TODAY(), IF(_xlpm.days&lt;0, "Expired", _xlpm.days)),
      _xlfn.LET(
         _xlpm.txt, C42,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Q42" t="inlineStr">
        <is>
          <t>LA</t>
        </is>
      </c>
      <c r="T42" s="19" t="n"/>
    </row>
    <row r="43" ht="15.75" customHeight="1" s="102">
      <c r="A43" s="13">
        <f>IF(B43="","-",IF(COUNTIF(E.DETACHED!B:B,B43)+COUNTIF('A.S.PRINTOUT'!B:B,B43)&gt;1,COUNTIF(E.DETACHED!B:B,B43)+COUNTIF('A.S.PRINTOUT'!B:B,B43)-1,"-"))</f>
        <v/>
      </c>
      <c r="B43" s="33" t="inlineStr">
        <is>
          <t>4761 RIDGELAWN DRIVE</t>
        </is>
      </c>
      <c r="C43" s="33" t="inlineStr">
        <is>
          <t>12/31/2028</t>
        </is>
      </c>
      <c r="D43" s="113" t="n">
        <v>4850000</v>
      </c>
      <c r="E43" s="33" t="inlineStr">
        <is>
          <t>1/19/2026</t>
        </is>
      </c>
      <c r="F43" s="22">
        <f>IF(E43="","",MAX(0, TODAY() -
  IF(ISNUMBER(E43),
     E43,
     IFERROR(
        DATEVALUE(SUBSTITUTE(E43,CHAR(160)," ")),
        DATE(VALUE(RIGHT(E43,4)),
             VALUE(LEFT(E43,FIND("/",E43)-1)),
             VALUE(MID(E43,FIND("/",E43)+1, FIND("/",E43, FIND("/",E43)+1)-FIND("/",E43)-1))
        )
     )
  )
))</f>
        <v/>
      </c>
      <c r="G43" s="21" t="n">
        <v>1</v>
      </c>
      <c r="H43" s="21" t="n">
        <v>1955</v>
      </c>
      <c r="I43" s="21" t="n">
        <v>7260</v>
      </c>
      <c r="J43" s="21" t="n">
        <v>1</v>
      </c>
      <c r="K43" s="21" t="n">
        <v>1</v>
      </c>
      <c r="L43" s="22" t="n">
        <v>2493</v>
      </c>
      <c r="M43" s="21" t="n">
        <v>2</v>
      </c>
      <c r="N43" s="115" t="n">
        <v>2089000</v>
      </c>
      <c r="O43" s="115" t="n">
        <v>2168900</v>
      </c>
      <c r="P43" s="30">
        <f>IF(C43="","",
   IF(ISNUMBER(C43),
      _xlfn.LET(_xlpm.days, C43 - TODAY(), IF(_xlpm.days&lt;0, "Expired", _xlpm.days)),
      _xlfn.LET(
         _xlpm.txt, C43,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Q43" t="inlineStr">
        <is>
          <t>LA</t>
        </is>
      </c>
      <c r="T43" s="19" t="n"/>
    </row>
    <row r="44" ht="15.75" customHeight="1" s="102">
      <c r="A44" s="13">
        <f>IF(B44="","-",IF(COUNTIF(E.DETACHED!B:B,B44)+COUNTIF('A.S.PRINTOUT'!B:B,B44)&gt;1,COUNTIF(E.DETACHED!B:B,B44)+COUNTIF('A.S.PRINTOUT'!B:B,B44)-1,"-"))</f>
        <v/>
      </c>
      <c r="B44" s="19" t="inlineStr">
        <is>
          <t>4841 SOUTHLAWN DRIVE</t>
        </is>
      </c>
      <c r="C44" s="19" t="inlineStr">
        <is>
          <t>4/9/2026</t>
        </is>
      </c>
      <c r="D44" s="113" t="n">
        <v>4325000</v>
      </c>
      <c r="E44" s="24" t="n">
        <v>45756</v>
      </c>
      <c r="F44" s="22">
        <f>IF(E44="","",MAX(0, TODAY() -
IF(ISNUMBER(E44),
E44,
IFERROR(
DATEVALUE(SUBSTITUTE(E44,CHAR(160)," ")),
DATE(VALUE(RIGHT(E44,4)),
VALUE(LEFT(E44,FIND("/",E44)-1)),
VALUE(MID(E44,FIND("/",E44)+1, FIND("/",E44, FIND("/",E44)+1)-FIND("/",E44)-1))
)
)
)
))</f>
        <v/>
      </c>
      <c r="G44" s="21" t="n">
        <v>2</v>
      </c>
      <c r="H44" s="21" t="n">
        <v>1954</v>
      </c>
      <c r="I44" s="21" t="n">
        <v>7564</v>
      </c>
      <c r="J44" s="21" t="n">
        <v>4</v>
      </c>
      <c r="K44" s="21" t="n">
        <v>2</v>
      </c>
      <c r="L44" s="22" t="n">
        <v>2455</v>
      </c>
      <c r="M44" s="21" t="n">
        <v>0</v>
      </c>
      <c r="N44" s="115" t="n">
        <v>2120000</v>
      </c>
      <c r="O44" s="115" t="n">
        <v>2181200</v>
      </c>
      <c r="P44" s="30">
        <f>IF(C44="","",
IF(ISNUMBER(C44),
_xlfn.LET(_xlpm.days, C44 - TODAY(), IF(_xlpm.days&lt;0, "Expired", _xlpm.days)),
_xlfn.LET(
_xlpm.txt, C44,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Q44" t="inlineStr">
        <is>
          <t>LA</t>
        </is>
      </c>
      <c r="T44" s="19" t="n"/>
    </row>
    <row r="45" ht="15.75" customHeight="1" s="102">
      <c r="A45" s="13">
        <f>IF(B45="","-",IF(COUNTIF(E.DETACHED!B:B,B45)+COUNTIF('A.S.PRINTOUT'!B:B,B45)&gt;1,COUNTIF(E.DETACHED!B:B,B45)+COUNTIF('A.S.PRINTOUT'!B:B,B45)-1,"-"))</f>
        <v/>
      </c>
      <c r="B45" s="19" t="inlineStr">
        <is>
          <t>4851 SOUTHLAWN DRIVE</t>
        </is>
      </c>
      <c r="C45" s="19" t="inlineStr">
        <is>
          <t>4/9/2026</t>
        </is>
      </c>
      <c r="D45" s="113" t="n">
        <v>4325000</v>
      </c>
      <c r="E45" s="24" t="n">
        <v>45756</v>
      </c>
      <c r="F45" s="22">
        <f>IF(E45="","",MAX(0, TODAY() -
IF(ISNUMBER(E45),
E45,
IFERROR(
DATEVALUE(SUBSTITUTE(E45,CHAR(160)," ")),
DATE(VALUE(RIGHT(E45,4)),
VALUE(LEFT(E45,FIND("/",E45)-1)),
VALUE(MID(E45,FIND("/",E45)+1, FIND("/",E45, FIND("/",E45)+1)-FIND("/",E45)-1))
)
)
)
))</f>
        <v/>
      </c>
      <c r="G45" s="21" t="n">
        <v>2</v>
      </c>
      <c r="H45" s="21" t="n">
        <v>1954</v>
      </c>
      <c r="I45" s="21" t="n">
        <v>7564</v>
      </c>
      <c r="J45" s="21" t="n">
        <v>4</v>
      </c>
      <c r="K45" s="21" t="n">
        <v>2</v>
      </c>
      <c r="L45" s="22" t="n">
        <v>2426</v>
      </c>
      <c r="M45" s="21" t="n">
        <v>0</v>
      </c>
      <c r="N45" s="115" t="n">
        <v>2120000</v>
      </c>
      <c r="O45" s="115" t="n">
        <v>2222000</v>
      </c>
      <c r="P45" s="30">
        <f>IF(C45="","",
IF(ISNUMBER(C45),
_xlfn.LET(_xlpm.days, C45 - TODAY(), IF(_xlpm.days&lt;0, "Expired", _xlpm.days)),
_xlfn.LET(
_xlpm.txt, C45,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Q45" t="inlineStr">
        <is>
          <t>LA</t>
        </is>
      </c>
      <c r="T45" s="19" t="n"/>
    </row>
    <row r="46" ht="15.75" customHeight="1" s="102">
      <c r="A46" s="13">
        <f>IF(B46="","-",IF(COUNTIF(E.DETACHED!B:B,B46)+COUNTIF('A.S.PRINTOUT'!B:B,B46)&gt;1,COUNTIF(E.DETACHED!B:B,B46)+COUNTIF('A.S.PRINTOUT'!B:B,B46)-1,"-"))</f>
        <v/>
      </c>
      <c r="B46" t="inlineStr">
        <is>
          <t>1743 TARALAWN COURT</t>
        </is>
      </c>
      <c r="C46" s="91" t="n">
        <v>46457</v>
      </c>
      <c r="D46" s="114" t="n">
        <v>2150000</v>
      </c>
      <c r="E46" s="91" t="n">
        <v>46093</v>
      </c>
      <c r="F46" s="22">
        <f>IF(E46="","",MAX(0, TODAY() -
IF(ISNUMBER(E46),
E46,
IFERROR(
DATEVALUE(SUBSTITUTE(E46,CHAR(160)," ")),
DATE(VALUE(RIGHT(E46,4)),
VALUE(LEFT(E46,FIND("/",E46)-1)),
VALUE(MID(E46,FIND("/",E46)+1, FIND("/",E46, FIND("/",E46)+1)-FIND("/",E46)-1))
)
)
)
))</f>
        <v/>
      </c>
      <c r="G46" s="21" t="n">
        <v>1</v>
      </c>
      <c r="H46" s="21" t="n">
        <v>1967</v>
      </c>
      <c r="I46" s="21" t="n">
        <v>7260</v>
      </c>
      <c r="J46" s="21" t="n">
        <v>4</v>
      </c>
      <c r="K46" s="21" t="n">
        <v>3</v>
      </c>
      <c r="L46" s="22" t="n">
        <v>3081</v>
      </c>
      <c r="M46" s="21" t="n">
        <v>2</v>
      </c>
      <c r="N46" s="115" t="n">
        <v>1906000</v>
      </c>
      <c r="O46" s="115" t="n">
        <v>2006000</v>
      </c>
      <c r="P46" s="30">
        <f>IF(C46="","",
IF(ISNUMBER(C46),
_xlfn.LET(_xlpm.days, C46 - TODAY(), IF(_xlpm.days&lt;0, "Expired", _xlpm.days)),
_xlfn.LET(
_xlpm.txt, C46,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T46" s="19" t="n"/>
    </row>
    <row r="47" ht="15.75" customHeight="1" s="102">
      <c r="A47" s="13">
        <f>IF(B47="","-",IF(COUNTIF(E.DETACHED!B:B,B47)+COUNTIF('A.S.PRINTOUT'!B:B,B47)&gt;1,COUNTIF(E.DETACHED!B:B,B47)+COUNTIF('A.S.PRINTOUT'!B:B,B47)-1,"-"))</f>
        <v/>
      </c>
      <c r="B47" s="19" t="inlineStr">
        <is>
          <t>4644 UNION STREET</t>
        </is>
      </c>
      <c r="C47" s="91" t="n">
        <v>46203</v>
      </c>
      <c r="D47" s="113" t="n">
        <v>1499000</v>
      </c>
      <c r="E47" s="91" t="n">
        <v>46097</v>
      </c>
      <c r="F47" s="22">
        <f>IF(E47="","",MAX(0, TODAY() -
  IF(ISNUMBER(E47),
     E47,
     IFERROR(
        DATEVALUE(SUBSTITUTE(E47,CHAR(160)," ")),
        DATE(VALUE(RIGHT(E47,4)),
             VALUE(LEFT(E47,FIND("/",E47)-1)),
             VALUE(MID(E47,FIND("/",E47)+1, FIND("/",E47, FIND("/",E47)+1)-FIND("/",E47)-1))
        )
     )
  )
))</f>
        <v/>
      </c>
      <c r="G47" s="21" t="n">
        <v>2</v>
      </c>
      <c r="H47" s="21" t="n">
        <v>1956</v>
      </c>
      <c r="I47" s="21" t="n">
        <v>4026</v>
      </c>
      <c r="J47" s="21" t="n">
        <v>4</v>
      </c>
      <c r="K47" s="21" t="n">
        <v>2</v>
      </c>
      <c r="L47" s="21" t="n">
        <v>1900</v>
      </c>
      <c r="M47" s="21" t="n">
        <v>1</v>
      </c>
      <c r="N47" s="116" t="n">
        <v>1662000</v>
      </c>
      <c r="O47" s="116" t="n">
        <v>1730900</v>
      </c>
      <c r="P47" s="30">
        <f>IF(C47="","",
IF(ISNUMBER(C47),
_xlfn.LET(_xlpm.days, C47 - TODAY(), IF(_xlpm.days&lt;0, "Expired", _xlpm.days)),
_xlfn.LET(
_xlpm.txt, C47,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T47" s="19" t="n"/>
    </row>
    <row r="48" ht="15.75" customHeight="1" s="102">
      <c r="A48" s="13">
        <f>IF(B48="","-",IF(COUNTIF(E.DETACHED!B:B,B48)+COUNTIF('A.S.PRINTOUT'!B:B,B48)&gt;1,COUNTIF(E.DETACHED!B:B,B48)+COUNTIF('A.S.PRINTOUT'!B:B,B48)-1,"-"))</f>
        <v/>
      </c>
      <c r="B48" s="19" t="inlineStr">
        <is>
          <t>4710 UNION STREET</t>
        </is>
      </c>
      <c r="C48" s="20" t="n">
        <v>46402</v>
      </c>
      <c r="D48" s="113" t="n">
        <v>1498000</v>
      </c>
      <c r="E48" s="20" t="n">
        <v>46038</v>
      </c>
      <c r="F48" s="22">
        <f>IF(E48="","",MAX(0, TODAY() -
IF(ISNUMBER(E48),
E48,
IFERROR(
DATEVALUE(SUBSTITUTE(E48,CHAR(160)," ")),
DATE(VALUE(RIGHT(E48,4)),
VALUE(LEFT(E48,FIND("/",E48)-1)),
VALUE(MID(E48,FIND("/",E48)+1, FIND("/",E48, FIND("/",E48)+1)-FIND("/",E48)-1))
)
)
)
))</f>
        <v/>
      </c>
      <c r="G48" s="21" t="n">
        <v>1</v>
      </c>
      <c r="H48" s="21" t="n">
        <v>1973</v>
      </c>
      <c r="I48" s="21" t="n">
        <v>4026</v>
      </c>
      <c r="J48" s="21" t="n">
        <v>5</v>
      </c>
      <c r="K48" s="21" t="n">
        <v>4</v>
      </c>
      <c r="L48" s="21" t="n">
        <v>2542</v>
      </c>
      <c r="M48" s="21" t="n">
        <v>2</v>
      </c>
      <c r="N48" s="116" t="n">
        <v>1657000</v>
      </c>
      <c r="O48" s="116" t="n">
        <v>1862000</v>
      </c>
      <c r="P48" s="30">
        <f>IF(C48="","",
IF(ISNUMBER(C48),
_xlfn.LET(_xlpm.days, C48 - TODAY(), IF(_xlpm.days&lt;0, "Expired", _xlpm.days)),
_xlfn.LET(
_xlpm.txt, C48,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T48" s="19" t="n"/>
    </row>
    <row r="49" ht="15" customHeight="1" s="102">
      <c r="B49" t="inlineStr">
        <is>
          <t>4902 VENABLES STREET</t>
        </is>
      </c>
      <c r="C49" s="91" t="n">
        <v>46276</v>
      </c>
      <c r="D49" s="114" t="n">
        <v>2298000</v>
      </c>
      <c r="E49" s="91" t="n">
        <v>46092</v>
      </c>
      <c r="F49" s="22">
        <f>IF(E49="","",MAX(0, TODAY() -
IF(ISNUMBER(E49),
E49,
IFERROR(
DATEVALUE(SUBSTITUTE(E49,CHAR(160)," ")),
DATE(VALUE(RIGHT(E49,4)),
VALUE(LEFT(E49,FIND("/",E49)-1)),
VALUE(MID(E49,FIND("/",E49)+1, FIND("/",E49, FIND("/",E49)+1)-FIND("/",E49)-1))
)
)
)
))</f>
        <v/>
      </c>
      <c r="G49" s="21" t="n">
        <v>1</v>
      </c>
      <c r="H49" s="21" t="n">
        <v>1957</v>
      </c>
      <c r="I49" s="21" t="n">
        <v>6490</v>
      </c>
      <c r="J49" s="21" t="n">
        <v>5</v>
      </c>
      <c r="K49" s="21" t="n">
        <v>4</v>
      </c>
      <c r="L49" s="22" t="n">
        <v>2796</v>
      </c>
      <c r="M49" s="21" t="n">
        <v>2</v>
      </c>
      <c r="N49" s="115" t="n">
        <v>1921000</v>
      </c>
      <c r="O49" s="115" t="n">
        <v>2136000</v>
      </c>
      <c r="P49" s="30">
        <f>IF(C49="","",
IF(ISNUMBER(C49),
_xlfn.LET(_xlpm.days, C49 - TODAY(), IF(_xlpm.days&lt;0, "Expired", _xlpm.days)),
_xlfn.LET(
_xlpm.txt, C49,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</row>
    <row r="51" ht="15.75" customHeight="1" s="102">
      <c r="A51" s="13">
        <f>IF(B51="","-",IF(COUNTIF(E.DETACHED!B:B,B51)+COUNTIF('A.S.PRINTOUT'!B:B,B51)&gt;1,COUNTIF(E.DETACHED!B:B,B51)+COUNTIF('A.S.PRINTOUT'!B:B,B51)-1,"-"))</f>
        <v/>
      </c>
      <c r="B51" s="97">
        <f t="array" ref="B51">SUMPRODUCT(--(LEN(TRIM(B29:B50))&gt;0))</f>
        <v/>
      </c>
      <c r="C51" s="19" t="n"/>
      <c r="D51" s="19" t="n"/>
      <c r="E51" s="22">
        <f>IF(D51="","",MAX(0, TODAY() -
  IF(ISNUMBER(D51),
     D51,
     IFERROR(
        DATEVALUE(SUBSTITUTE(D51,CHAR(160)," ")),
        DATE(VALUE(RIGHT(D51,4)),
             VALUE(LEFT(D51,FIND("/",D51)-1)),
             VALUE(MID(D51,FIND("/",D51)+1, FIND("/",D51, FIND("/",D51)+1)-FIND("/",D51)-1))
        )
     )
  )
))</f>
        <v/>
      </c>
      <c r="F51" s="22">
        <f>IF(E51="","",MAX(0, TODAY() -
IF(ISNUMBER(E51),
E51,
IFERROR(
DATEVALUE(SUBSTITUTE(E51,CHAR(160)," ")),
DATE(VALUE(RIGHT(E51,4)),
VALUE(LEFT(E51,FIND("/",E51)-1)),
VALUE(MID(E51,FIND("/",E51)+1, FIND("/",E51, FIND("/",E51)+1)-FIND("/",E51)-1))
)
)
)
))</f>
        <v/>
      </c>
      <c r="G51" s="21" t="n"/>
      <c r="H51" s="21" t="n"/>
      <c r="I51" s="21" t="n"/>
      <c r="J51" s="21" t="n"/>
      <c r="K51" s="21" t="n"/>
      <c r="L51" s="21" t="n"/>
      <c r="M51" s="21" t="n"/>
      <c r="N51" s="25" t="n"/>
      <c r="O51" s="25" t="n"/>
      <c r="P51" s="30">
        <f>_xlfn.SINGLE(IF(C51="","",
   IF(ISNUMBER(C51),
      _xludf.LET(_xlpm.days, C51 - TODAY(), IF(_xlfn.SINGLE(_xlpm.days)&lt;0, "Expired", _xlpm.days)),
      _xludf.LET(
         _xlpm.txt, C51,
         _xlpm.y, RIGHT(_xlfn.SINGLE(_xlpm.txt),4)*1,
         _xlpm.m, LEFT(_xlfn.SINGLE(_xlpm.txt), FIND("/",_xlfn.SINGLE(_xlpm.txt))-1)*1,
         _xlpm.d, MID(_xlfn.SINGLE(_xlpm.txt), FIND("/",_xlfn.SINGLE(_xlpm.txt))+1, FIND("/",_xlfn.SINGLE(_xlpm.txt), FIND("/",_xlfn.SINGLE(_xlpm.txt))+1) - FIND("/",_xlfn.SINGLE(_xlpm.txt)) -1 )*1,
         _xlpm.days, DATE(_xlfn.SINGLE(_xlpm.y),_xlfn.SINGLE(_xlpm.m),_xlfn.SINGLE(_xlpm.d)) - TODAY(),
         IF(_xlfn.SINGLE(_xlpm.days)&lt;0, "Expired", _xlpm.days)
      )
   )
))</f>
        <v/>
      </c>
    </row>
    <row r="52" ht="15.75" customHeight="1" s="102">
      <c r="A52" s="13">
        <f>IF(B52="","-",IF(COUNTIF(E.DETACHED!B:B,B52)+COUNTIF('A.S.PRINTOUT'!B:B,B52)&gt;1,COUNTIF(E.DETACHED!B:B,B52)+COUNTIF('A.S.PRINTOUT'!B:B,B52)-1,"-"))</f>
        <v/>
      </c>
      <c r="B52" s="19" t="n"/>
      <c r="C52" s="113" t="n"/>
      <c r="D52" s="20" t="n"/>
      <c r="E52" s="22" t="n"/>
      <c r="F52" s="22">
        <f>IF(E52="","",MAX(0, TODAY() -
IF(ISNUMBER(E52),
E52,
IFERROR(
DATEVALUE(SUBSTITUTE(E52,CHAR(160)," ")),
DATE(VALUE(RIGHT(E52,4)),
VALUE(LEFT(E52,FIND("/",E52)-1)),
VALUE(MID(E52,FIND("/",E52)+1, FIND("/",E52, FIND("/",E52)+1)-FIND("/",E52)-1))
)
)
)
))</f>
        <v/>
      </c>
      <c r="G52" s="21" t="n"/>
      <c r="H52" s="21" t="n"/>
      <c r="I52" s="21" t="n"/>
      <c r="J52" s="21" t="n"/>
      <c r="K52" s="21" t="n"/>
      <c r="L52" s="21" t="n"/>
      <c r="M52" s="21" t="n"/>
      <c r="N52" s="35" t="n"/>
      <c r="O52" s="25" t="n"/>
      <c r="P52" s="30">
        <f>_xlfn.SINGLE(IF(C52="","",
   IF(ISNUMBER(C52),
      _xludf.LET(_xlpm.days, C52 - TODAY(), IF(_xlfn.SINGLE(_xlpm.days)&lt;0, "Expired", _xlpm.days)),
      _xludf.LET(
         _xlpm.txt, C52,
         _xlpm.y, RIGHT(_xlfn.SINGLE(_xlpm.txt),4)*1,
         _xlpm.m, LEFT(_xlfn.SINGLE(_xlpm.txt), FIND("/",_xlfn.SINGLE(_xlpm.txt))-1)*1,
         _xlpm.d, MID(_xlfn.SINGLE(_xlpm.txt), FIND("/",_xlfn.SINGLE(_xlpm.txt))+1, FIND("/",_xlfn.SINGLE(_xlpm.txt), FIND("/",_xlfn.SINGLE(_xlpm.txt))+1) - FIND("/",_xlfn.SINGLE(_xlpm.txt)) -1 )*1,
         _xlpm.days, DATE(_xlfn.SINGLE(_xlpm.y),_xlfn.SINGLE(_xlpm.m),_xlfn.SINGLE(_xlpm.d)) - TODAY(),
         IF(_xlfn.SINGLE(_xlpm.days)&lt;0, "Expired", _xlpm.days)
      )
   )
))</f>
        <v/>
      </c>
    </row>
    <row r="53" ht="15.75" customHeight="1" s="102">
      <c r="A53" s="13">
        <f>IF(B53="","-",IF(COUNTIF(E.DETACHED!B:B,B53)+COUNTIF('A.S.PRINTOUT'!B:B,B53)&gt;1,COUNTIF(E.DETACHED!B:B,B53)+COUNTIF('A.S.PRINTOUT'!B:B,B53)-1,"-"))</f>
        <v/>
      </c>
      <c r="E53" s="8">
        <f>IF(D53="","",MAX(0, TODAY() -
  IF(ISNUMBER(D53),
     D53,
     IFERROR(
        DATEVALUE(SUBSTITUTE(D53,CHAR(160)," ")),
        DATE(VALUE(RIGHT(D53,4)),
             VALUE(LEFT(D53,FIND("/",D53)-1)),
             VALUE(MID(D53,FIND("/",D53)+1, FIND("/",D53, FIND("/",D53)+1)-FIND("/",D53)-1))
        )
     )
  )
))</f>
        <v/>
      </c>
      <c r="F53" s="22">
        <f>IF(E53="","",MAX(0, TODAY() -
IF(ISNUMBER(E53),
E53,
IFERROR(
DATEVALUE(SUBSTITUTE(E53,CHAR(160)," ")),
DATE(VALUE(RIGHT(E53,4)),
VALUE(LEFT(E53,FIND("/",E53)-1)),
VALUE(MID(E53,FIND("/",E53)+1, FIND("/",E53, FIND("/",E53)+1)-FIND("/",E53)-1))
)
)
)
))</f>
        <v/>
      </c>
      <c r="G53" s="21" t="n"/>
      <c r="H53" s="21" t="n"/>
      <c r="I53" s="21" t="n"/>
      <c r="J53" s="21" t="n"/>
      <c r="K53" s="21" t="n"/>
      <c r="L53" s="21" t="n"/>
      <c r="M53" s="21" t="n"/>
      <c r="N53" s="25" t="n"/>
      <c r="O53" s="25" t="n"/>
    </row>
    <row r="54" ht="14.4" customHeight="1" s="102">
      <c r="A54" s="13">
        <f>IF(B54="","-",IF(COUNTIF(E.DETACHED!B:B,B54)+COUNTIF('A.S.PRINTOUT'!B:B,B54)&gt;1,COUNTIF(E.DETACHED!B:B,B54)+COUNTIF('A.S.PRINTOUT'!B:B,B54)-1,"-"))</f>
        <v/>
      </c>
      <c r="B54" s="36" t="inlineStr">
        <is>
          <t>EXPIRED last 30days</t>
        </is>
      </c>
      <c r="C54" s="37">
        <f>"Date Range: " &amp; TEXT(TODAY()-30, "MMMM DD, YYYY") &amp; " - " &amp; TEXT(TODAY(), "MMMM DD, YYYY")</f>
        <v/>
      </c>
      <c r="D54" s="38" t="n"/>
      <c r="E54" s="38" t="n"/>
      <c r="F54" s="38" t="n"/>
      <c r="G54" s="38" t="n"/>
      <c r="H54" s="21" t="n"/>
      <c r="I54" s="21" t="n"/>
      <c r="J54" s="21" t="n"/>
      <c r="K54" s="22" t="n"/>
      <c r="L54" s="21" t="n"/>
      <c r="M54" s="21" t="n"/>
      <c r="N54" s="118" t="n"/>
      <c r="O54" s="118" t="n"/>
      <c r="P54" s="118" t="n"/>
    </row>
    <row r="55" s="102" thickBot="1">
      <c r="A55" s="13" t="n"/>
      <c r="B55" s="3" t="inlineStr">
        <is>
          <t>Address</t>
        </is>
      </c>
      <c r="C55" s="4" t="inlineStr">
        <is>
          <t>Expiry</t>
        </is>
      </c>
      <c r="D55" s="6" t="inlineStr">
        <is>
          <t>List</t>
        </is>
      </c>
      <c r="E55" s="6" t="inlineStr">
        <is>
          <t>L.Date</t>
        </is>
      </c>
      <c r="F55" s="6" t="inlineStr">
        <is>
          <t>DOM</t>
        </is>
      </c>
      <c r="G55" s="7" t="inlineStr">
        <is>
          <t>List#</t>
        </is>
      </c>
      <c r="H55" s="8" t="inlineStr">
        <is>
          <t>Build</t>
        </is>
      </c>
      <c r="I55" s="9" t="inlineStr">
        <is>
          <t>Lot Size</t>
        </is>
      </c>
      <c r="J55" s="9" t="inlineStr">
        <is>
          <t>Bed</t>
        </is>
      </c>
      <c r="K55" s="9" t="inlineStr">
        <is>
          <t>Bath</t>
        </is>
      </c>
      <c r="L55" s="8" t="inlineStr">
        <is>
          <t>Sqft</t>
        </is>
      </c>
      <c r="M55" s="9" t="inlineStr">
        <is>
          <t>Kitch</t>
        </is>
      </c>
      <c r="N55" s="110" t="inlineStr">
        <is>
          <t>Land</t>
        </is>
      </c>
      <c r="O55" s="117" t="inlineStr">
        <is>
          <t>Total ASS</t>
        </is>
      </c>
      <c r="P55" s="9" t="inlineStr">
        <is>
          <t>D.EXP</t>
        </is>
      </c>
      <c r="Q55" s="9" t="inlineStr">
        <is>
          <t>Contact</t>
        </is>
      </c>
      <c r="R55" s="9" t="inlineStr">
        <is>
          <t>ML#</t>
        </is>
      </c>
      <c r="S55" s="9" t="inlineStr">
        <is>
          <t>NAME</t>
        </is>
      </c>
      <c r="T55" s="9" t="inlineStr">
        <is>
          <t>ADDRESS1</t>
        </is>
      </c>
      <c r="U55" s="9" t="inlineStr">
        <is>
          <t>ADDRESS2</t>
        </is>
      </c>
      <c r="V55" s="9" t="inlineStr">
        <is>
          <t>OCCUP</t>
        </is>
      </c>
    </row>
    <row r="56" ht="15.75" customHeight="1" s="102">
      <c r="A56" s="13">
        <f>IF(B56="","-",IF(COUNTIF(E.DETACHED!B:B,B56)+COUNTIF('A.S.PRINTOUT'!B:B,B56)&gt;1,COUNTIF(E.DETACHED!B:B,B56)+COUNTIF('A.S.PRINTOUT'!B:B,B56)-1,"-"))</f>
        <v/>
      </c>
      <c r="B56" s="19" t="inlineStr">
        <is>
          <t>4645 BRENTLAWN DRIVE</t>
        </is>
      </c>
      <c r="C56" s="119" t="n">
        <v>46112</v>
      </c>
      <c r="D56" s="113" t="n">
        <v>4000000</v>
      </c>
      <c r="E56" s="24" t="n">
        <v>45736</v>
      </c>
      <c r="F56" s="22" t="n">
        <v>377</v>
      </c>
      <c r="G56" s="21" t="n"/>
      <c r="H56" s="21" t="n">
        <v>1954</v>
      </c>
      <c r="I56" s="21" t="n">
        <v>6466</v>
      </c>
      <c r="J56" s="21" t="n">
        <v>4</v>
      </c>
      <c r="K56" s="21" t="n">
        <v>4</v>
      </c>
      <c r="L56" s="22" t="n">
        <v>2024</v>
      </c>
      <c r="M56" s="21" t="n">
        <v>3</v>
      </c>
      <c r="N56" s="115" t="n">
        <v>1789000</v>
      </c>
      <c r="O56" s="115" t="n">
        <v>1899000</v>
      </c>
      <c r="P56" s="30" t="inlineStr">
        <is>
          <t>Expired</t>
        </is>
      </c>
      <c r="R56" s="93" t="inlineStr">
        <is>
          <t>R2980434,</t>
        </is>
      </c>
      <c r="T56" s="19" t="n"/>
      <c r="U56" s="19" t="n"/>
      <c r="V56" s="19" t="inlineStr">
        <is>
          <t>V</t>
        </is>
      </c>
    </row>
    <row r="57" ht="15.75" customHeight="1" s="102">
      <c r="A57" s="13">
        <f>IF(B57="","-",IF(COUNTIF(E.DETACHED!B:B,B57)+COUNTIF('A.S.PRINTOUT'!B:B,B57)&gt;1,COUNTIF(E.DETACHED!B:B,B57)+COUNTIF('A.S.PRINTOUT'!B:B,B57)-1,"-"))</f>
        <v/>
      </c>
      <c r="B57" s="19" t="n"/>
      <c r="C57" s="19" t="n"/>
      <c r="D57" s="113" t="n"/>
      <c r="E57" s="24" t="n"/>
      <c r="F57" s="22" t="n"/>
      <c r="G57" s="21" t="n"/>
      <c r="H57" s="21" t="n"/>
      <c r="I57" s="21" t="n"/>
      <c r="J57" s="21" t="n"/>
      <c r="K57" s="21" t="n"/>
      <c r="L57" s="22" t="n"/>
      <c r="M57" s="21" t="n"/>
      <c r="N57" s="115" t="n"/>
      <c r="O57" s="115" t="n"/>
      <c r="P57" s="30" t="n"/>
      <c r="R57" s="93" t="n"/>
      <c r="T57" s="19" t="n"/>
      <c r="U57" s="19" t="n"/>
      <c r="V57" t="inlineStr">
        <is>
          <t>V</t>
        </is>
      </c>
      <c r="W57" t="inlineStr">
        <is>
          <t>LA</t>
        </is>
      </c>
    </row>
    <row r="58" ht="15.75" customHeight="1" s="102">
      <c r="A58" s="13">
        <f>IF(B58="","-",IF(COUNTIF(E.DETACHED!B:B,B58)+COUNTIF('A.S.PRINTOUT'!B:B,B58)&gt;1,COUNTIF(E.DETACHED!B:B,B58)+COUNTIF('A.S.PRINTOUT'!B:B,B58)-1,"-"))</f>
        <v/>
      </c>
      <c r="B58" s="19" t="n"/>
      <c r="C58" s="19" t="n"/>
      <c r="D58" s="113" t="n"/>
      <c r="E58" s="31" t="n"/>
      <c r="F58" s="22" t="n"/>
      <c r="G58" s="21" t="n"/>
      <c r="H58" s="21" t="n"/>
      <c r="I58" s="21" t="n"/>
      <c r="J58" s="21" t="n"/>
      <c r="K58" s="21" t="n"/>
      <c r="L58" s="22" t="n"/>
      <c r="M58" s="21" t="n"/>
      <c r="N58" s="115" t="n"/>
      <c r="O58" s="115" t="n"/>
      <c r="P58" s="30" t="n"/>
      <c r="R58" s="93" t="n"/>
      <c r="T58" s="19" t="n"/>
      <c r="U58" s="19" t="n"/>
      <c r="V58" s="19" t="inlineStr">
        <is>
          <t>O</t>
        </is>
      </c>
      <c r="W58" t="inlineStr">
        <is>
          <t>LA</t>
        </is>
      </c>
    </row>
    <row r="59" ht="15.75" customHeight="1" s="102">
      <c r="A59" s="13">
        <f>IF(B59="","-",IF(COUNTIF(E.DETACHED!B:B,B59)+COUNTIF('A.S.PRINTOUT'!B:B,B59)&gt;1,COUNTIF(E.DETACHED!B:B,B59)+COUNTIF('A.S.PRINTOUT'!B:B,B59)-1,"-"))</f>
        <v/>
      </c>
      <c r="B59" s="19" t="n"/>
      <c r="C59" s="19" t="n"/>
      <c r="D59" s="113" t="n"/>
      <c r="E59" s="31" t="n"/>
      <c r="F59" s="22" t="n"/>
      <c r="G59" s="21" t="n"/>
      <c r="H59" s="21" t="n"/>
      <c r="I59" s="21" t="n"/>
      <c r="J59" s="21" t="n"/>
      <c r="K59" s="21" t="n"/>
      <c r="L59" s="22" t="n"/>
      <c r="M59" s="21" t="n"/>
      <c r="N59" s="115" t="n"/>
      <c r="O59" s="115" t="n"/>
      <c r="P59" s="30" t="n"/>
      <c r="R59" s="93" t="n"/>
      <c r="T59" s="19" t="n"/>
      <c r="U59" s="19" t="n"/>
      <c r="V59" s="19" t="inlineStr">
        <is>
          <t>O</t>
        </is>
      </c>
      <c r="W59" t="inlineStr">
        <is>
          <t>LA</t>
        </is>
      </c>
    </row>
    <row r="60" ht="15.75" customHeight="1" s="102">
      <c r="A60" s="13">
        <f>IF(B60="","-",IF(COUNTIF(E.DETACHED!B:B,B60)+COUNTIF('A.S.PRINTOUT'!B:B,B60)&gt;1,COUNTIF(E.DETACHED!B:B,B60)+COUNTIF('A.S.PRINTOUT'!B:B,B60)-1,"-"))</f>
        <v/>
      </c>
      <c r="B60" s="19" t="n"/>
      <c r="C60" s="19" t="n"/>
      <c r="D60" s="113" t="n"/>
      <c r="E60" s="31" t="n"/>
      <c r="F60" s="22" t="n"/>
      <c r="G60" s="21" t="n"/>
      <c r="H60" s="21" t="n"/>
      <c r="I60" s="21" t="n"/>
      <c r="J60" s="21" t="n"/>
      <c r="K60" s="21" t="n"/>
      <c r="L60" s="22" t="n"/>
      <c r="M60" s="21" t="n"/>
      <c r="N60" s="115" t="n"/>
      <c r="O60" s="115" t="n"/>
      <c r="P60" s="30" t="n"/>
      <c r="R60" s="93" t="n"/>
      <c r="T60" s="19" t="n"/>
      <c r="U60" s="19" t="n"/>
      <c r="V60" s="19" t="inlineStr">
        <is>
          <t>O</t>
        </is>
      </c>
      <c r="W60" t="inlineStr">
        <is>
          <t>LA</t>
        </is>
      </c>
    </row>
    <row r="61" ht="15.75" customHeight="1" s="102">
      <c r="A61" s="13">
        <f>IF(B61="","-",IF(COUNTIF(E.DETACHED!B:B,B61)+COUNTIF('A.S.PRINTOUT'!B:B,B61)&gt;1,COUNTIF(E.DETACHED!B:B,B61)+COUNTIF('A.S.PRINTOUT'!B:B,B61)-1,"-"))</f>
        <v/>
      </c>
      <c r="B61" s="19" t="n"/>
      <c r="C61" s="19" t="n"/>
      <c r="D61" s="113" t="n"/>
      <c r="E61" s="31" t="n"/>
      <c r="F61" s="22" t="n"/>
      <c r="G61" s="21" t="n"/>
      <c r="H61" s="21" t="n"/>
      <c r="I61" s="21" t="n"/>
      <c r="J61" s="21" t="n"/>
      <c r="K61" s="21" t="n"/>
      <c r="L61" s="22" t="n"/>
      <c r="M61" s="21" t="n"/>
      <c r="N61" s="115" t="n"/>
      <c r="O61" s="115" t="n"/>
      <c r="P61" s="30" t="n"/>
      <c r="R61" s="93" t="n"/>
      <c r="T61" s="19" t="n"/>
      <c r="U61" s="19" t="n"/>
      <c r="V61" s="19" t="inlineStr">
        <is>
          <t>T</t>
        </is>
      </c>
      <c r="W61" t="inlineStr">
        <is>
          <t>LA</t>
        </is>
      </c>
    </row>
    <row r="62" ht="15.75" customHeight="1" s="102">
      <c r="A62" s="13">
        <f>IF(B62="","-",IF(COUNTIF(E.DETACHED!B:B,B62)+COUNTIF('A.S.PRINTOUT'!B:B,B62)&gt;1,COUNTIF(E.DETACHED!B:B,B62)+COUNTIF('A.S.PRINTOUT'!B:B,B62)-1,"-"))</f>
        <v/>
      </c>
      <c r="B62" s="32" t="n"/>
      <c r="C62" s="96" t="n"/>
      <c r="D62" s="113" t="n"/>
      <c r="E62" s="20" t="n"/>
      <c r="F62" s="22" t="n"/>
      <c r="G62" s="21" t="n"/>
      <c r="H62" s="21" t="n"/>
      <c r="I62" s="21" t="n"/>
      <c r="J62" s="21" t="n"/>
      <c r="K62" s="21" t="n"/>
      <c r="L62" s="22" t="n"/>
      <c r="M62" s="21" t="n"/>
      <c r="N62" s="115" t="n"/>
      <c r="O62" s="115" t="n"/>
      <c r="P62" s="30" t="n"/>
      <c r="R62" s="95" t="n"/>
      <c r="S62" s="94" t="n"/>
      <c r="T62" s="19" t="n"/>
      <c r="U62" s="19" t="n"/>
      <c r="V62" s="19" t="inlineStr">
        <is>
          <t>V</t>
        </is>
      </c>
      <c r="W62" s="19" t="inlineStr">
        <is>
          <t>Estate Sale</t>
        </is>
      </c>
    </row>
    <row r="63" ht="15.75" customHeight="1" s="102">
      <c r="A63" s="13">
        <f>IF(B63="","-",IF(COUNTIF(E.DETACHED!B:B,B63)+COUNTIF('A.S.PRINTOUT'!B:B,B63)&gt;1,COUNTIF(E.DETACHED!B:B,B63)+COUNTIF('A.S.PRINTOUT'!B:B,B63)-1,"-"))</f>
        <v/>
      </c>
      <c r="B63" s="19" t="n"/>
      <c r="C63" s="41" t="n"/>
      <c r="D63" s="120" t="n"/>
      <c r="E63" s="43" t="n"/>
      <c r="F63" s="22" t="n"/>
      <c r="G63" s="21" t="n"/>
      <c r="H63" s="21" t="n"/>
      <c r="I63" s="22" t="n"/>
      <c r="J63" s="21" t="n"/>
      <c r="K63" s="21" t="n"/>
      <c r="L63" s="22" t="n"/>
      <c r="M63" s="21" t="n"/>
      <c r="N63" s="118" t="n"/>
      <c r="O63" s="118" t="n"/>
      <c r="P63" s="30" t="n"/>
      <c r="Q63" s="25" t="n"/>
      <c r="V63" s="21" t="n"/>
    </row>
    <row r="64" ht="15.75" customHeight="1" s="102">
      <c r="A64" s="13">
        <f>IF(B64="","-",IF(COUNTIF(E.DETACHED!B:B,B64)+COUNTIF('A.S.PRINTOUT'!B:B,B64)&gt;1,COUNTIF(E.DETACHED!B:B,B64)+COUNTIF('A.S.PRINTOUT'!B:B,B64)-1,"-"))</f>
        <v/>
      </c>
      <c r="B64" s="44" t="inlineStr">
        <is>
          <t>TERMINATED/CP</t>
        </is>
      </c>
      <c r="E64" s="40" t="n"/>
      <c r="F64" s="21" t="n"/>
      <c r="G64" s="21" t="n"/>
      <c r="H64" s="21" t="n"/>
      <c r="I64" s="22" t="n"/>
      <c r="J64" s="21" t="n"/>
      <c r="K64" s="21" t="n"/>
      <c r="L64" s="21" t="n"/>
      <c r="M64" s="21" t="n"/>
      <c r="N64" s="118" t="n"/>
      <c r="O64" s="118" t="n"/>
      <c r="Q64" s="25" t="n"/>
      <c r="V64" s="21" t="n"/>
    </row>
    <row r="65" ht="15.75" customHeight="1" s="102">
      <c r="A65" s="13">
        <f>IF(B65="","-",IF(COUNTIF(E.DETACHED!B:B,B65)+COUNTIF('A.S.PRINTOUT'!B:B,B65)&gt;1,COUNTIF(E.DETACHED!B:B,B65)+COUNTIF('A.S.PRINTOUT'!B:B,B65)-1,"-"))</f>
        <v/>
      </c>
      <c r="B65" s="19" t="inlineStr">
        <is>
          <t>4640 BRENTLAWN DRIVE</t>
        </is>
      </c>
      <c r="C65" s="121" t="inlineStr">
        <is>
          <t>5/21/2026</t>
        </is>
      </c>
      <c r="D65" s="113" t="n">
        <v>4999000</v>
      </c>
      <c r="E65" s="31" t="inlineStr">
        <is>
          <t>5/21/2025</t>
        </is>
      </c>
      <c r="F65" s="22">
        <f>IF(E65="","",MAX(0, TODAY() -
  IF(ISNUMBER(E65),
     E65,
     IFERROR(
        DATEVALUE(SUBSTITUTE(E65,CHAR(160)," ")),
        DATE(VALUE(RIGHT(E65,4)),
             VALUE(LEFT(E65,FIND("/",E65)-1)),
             VALUE(MID(E65,FIND("/",E65)+1, FIND("/",E65, FIND("/",E65)+1)-FIND("/",E65)-1))
        )
     )
  )
))</f>
        <v/>
      </c>
      <c r="G65" s="21" t="n">
        <v>1</v>
      </c>
      <c r="H65" s="21" t="n">
        <v>1953</v>
      </c>
      <c r="I65" s="21" t="n">
        <v>6222</v>
      </c>
      <c r="J65" s="21" t="n">
        <v>3</v>
      </c>
      <c r="K65" s="21" t="n">
        <v>2</v>
      </c>
      <c r="L65" s="22" t="n">
        <v>2348</v>
      </c>
      <c r="M65" s="21" t="n">
        <v>2</v>
      </c>
      <c r="N65" s="115" t="n">
        <v>1788000</v>
      </c>
      <c r="O65" s="115" t="n">
        <v>1847100</v>
      </c>
      <c r="P65" s="30">
        <f>IF(C65="","",
   IF(ISNUMBER(C65),
      _xlfn.LET(_xlpm.days, C65 - TODAY(), IF(_xlpm.days&lt;0, "Expired", _xlpm.days)),
      _xlfn.LET(
         _xlpm.txt, C65,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R65" s="95" t="inlineStr">
        <is>
          <t>R3005742,</t>
        </is>
      </c>
      <c r="S65" s="94" t="inlineStr">
        <is>
          <t xml:space="preserve">MIEKO AMANO </t>
        </is>
      </c>
      <c r="T65" s="19" t="inlineStr">
        <is>
          <t>4640 BRENTLAWN DRIVE</t>
        </is>
      </c>
      <c r="U65" s="19" t="inlineStr">
        <is>
          <t>BURNABY, BC V5C 3V2</t>
        </is>
      </c>
      <c r="V65" s="19" t="inlineStr">
        <is>
          <t>T</t>
        </is>
      </c>
      <c r="W65" s="94" t="inlineStr">
        <is>
          <t>LA</t>
        </is>
      </c>
    </row>
    <row r="66" ht="15.75" customHeight="1" s="102">
      <c r="A66" s="13">
        <f>IF(B66="","-",IF(COUNTIF(E.DETACHED!B:B,B66)+COUNTIF('A.S.PRINTOUT'!B:B,B66)&gt;1,COUNTIF(E.DETACHED!B:B,B66)+COUNTIF('A.S.PRINTOUT'!B:B,B66)-1,"-"))</f>
        <v/>
      </c>
      <c r="B66" s="19" t="inlineStr">
        <is>
          <t>4644 BRENTLAWN DRIVE</t>
        </is>
      </c>
      <c r="C66" s="19" t="inlineStr">
        <is>
          <t>5/21/2026</t>
        </is>
      </c>
      <c r="D66" s="113" t="n">
        <v>4999000</v>
      </c>
      <c r="E66" s="31" t="inlineStr">
        <is>
          <t>5/21/2025</t>
        </is>
      </c>
      <c r="F66" s="22">
        <f>IF(E66="","",MAX(0, TODAY() -
IF(ISNUMBER(E66),
E66,
IFERROR(
DATEVALUE(SUBSTITUTE(E66,CHAR(160)," ")),
DATE(VALUE(RIGHT(E66,4)),
VALUE(LEFT(E66,FIND("/",E66)-1)),
VALUE(MID(E66,FIND("/",E66)+1, FIND("/",E66, FIND("/",E66)+1)-FIND("/",E66)-1))
)
)
)
))</f>
        <v/>
      </c>
      <c r="G66" s="21" t="n">
        <v>1</v>
      </c>
      <c r="H66" s="21" t="n">
        <v>1953</v>
      </c>
      <c r="I66" s="21" t="n">
        <v>6222</v>
      </c>
      <c r="J66" s="21" t="n">
        <v>5</v>
      </c>
      <c r="K66" s="21" t="n">
        <v>2</v>
      </c>
      <c r="L66" s="22" t="n">
        <v>1174</v>
      </c>
      <c r="M66" s="21" t="n">
        <v>2</v>
      </c>
      <c r="N66" s="115" t="n">
        <v>1789000</v>
      </c>
      <c r="O66" s="115" t="n">
        <v>1864200</v>
      </c>
      <c r="P66" s="30">
        <f>IF(C66="","",
   IF(ISNUMBER(C66),
      _xlfn.LET(_xlpm.days, C66 - TODAY(), IF(_xlpm.days&lt;0, "Expired", _xlpm.days)),
      _xlfn.LET(
         _xlpm.txt, C66,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R66" s="95" t="inlineStr">
        <is>
          <t>R3005748,</t>
        </is>
      </c>
      <c r="S66" s="94" t="inlineStr">
        <is>
          <t>KEVIN CHUN KAY POON | KITTY TERESA POON</t>
        </is>
      </c>
      <c r="T66" s="19" t="inlineStr">
        <is>
          <t>4644 BRENTLAWN DRIVE</t>
        </is>
      </c>
      <c r="U66" s="19" t="inlineStr">
        <is>
          <t>BURNABY, BC V5C 3V2</t>
        </is>
      </c>
      <c r="V66" s="19" t="inlineStr">
        <is>
          <t>OT</t>
        </is>
      </c>
      <c r="W66" s="19" t="inlineStr">
        <is>
          <t>LA</t>
        </is>
      </c>
    </row>
    <row r="67" ht="15.75" customHeight="1" s="102">
      <c r="A67" s="13">
        <f>IF(B67="","-",IF(COUNTIF(E.DETACHED!B:B,B67)+COUNTIF('A.S.PRINTOUT'!B:B,B67)&gt;1,COUNTIF(E.DETACHED!B:B,B67)+COUNTIF('A.S.PRINTOUT'!B:B,B67)-1,"-"))</f>
        <v/>
      </c>
      <c r="B67" s="19" t="inlineStr">
        <is>
          <t>4648 BRENTLAWN DRIVE</t>
        </is>
      </c>
      <c r="C67" s="19" t="inlineStr">
        <is>
          <t>5/21/2026</t>
        </is>
      </c>
      <c r="D67" s="113" t="n">
        <v>4999000</v>
      </c>
      <c r="E67" s="31" t="inlineStr">
        <is>
          <t>5/21/2025</t>
        </is>
      </c>
      <c r="F67" s="22">
        <f>IF(E67="","",MAX(0, TODAY() -
IF(ISNUMBER(E67),
E67,
IFERROR(
DATEVALUE(SUBSTITUTE(E67,CHAR(160)," ")),
DATE(VALUE(RIGHT(E67,4)),
VALUE(LEFT(E67,FIND("/",E67)-1)),
VALUE(MID(E67,FIND("/",E67)+1, FIND("/",E67, FIND("/",E67)+1)-FIND("/",E67)-1))
)
)
)
))</f>
        <v/>
      </c>
      <c r="G67" s="21" t="n">
        <v>1</v>
      </c>
      <c r="H67" s="21" t="n">
        <v>1953</v>
      </c>
      <c r="I67" s="21" t="n">
        <v>6222</v>
      </c>
      <c r="J67" s="21" t="n">
        <v>5</v>
      </c>
      <c r="K67" s="21" t="n">
        <v>3</v>
      </c>
      <c r="L67" s="22" t="n">
        <v>2569</v>
      </c>
      <c r="M67" s="21" t="n">
        <v>2</v>
      </c>
      <c r="N67" s="115" t="n">
        <v>1788000</v>
      </c>
      <c r="O67" s="115" t="n">
        <v>1919000</v>
      </c>
      <c r="P67" s="30">
        <f>IF(C67="","",
IF(ISNUMBER(C67),
_xlfn.LET(_xlpm.days, C67 - TODAY(), IF(_xlpm.days&lt;0, "Expired", _xlpm.days)),
_xlfn.LET(
_xlpm.txt, C67,
_xlpm.y, RIGHT(_xlpm.txt,4)*1,
_xlpm.m, LEFT(_xlpm.txt, FIND("/",_xlpm.txt)-1)*1,
_xlpm.d, MID(_xlpm.txt, FIND("/",_xlpm.txt)+1, FIND("/",_xlpm.txt, FIND("/",_xlpm.txt)+1) - FIND("/",_xlpm.txt) -1 )*1,
_xlpm.days, DATE(_xlpm.y,_xlpm.m,_xlpm.d) - TODAY(),
IF(_xlpm.days&lt;0, "Expired", _xlpm.days)
)
)
)</f>
        <v/>
      </c>
      <c r="R67" s="95" t="inlineStr">
        <is>
          <t>R3006020,</t>
        </is>
      </c>
      <c r="S67" s="94" t="inlineStr">
        <is>
          <t>JOSEPH TSANG | JENNY YUN YUN LAM-TSANG</t>
        </is>
      </c>
      <c r="T67" s="19" t="inlineStr">
        <is>
          <t>4648 BRENTLAWN DRIVE</t>
        </is>
      </c>
      <c r="U67" s="19" t="inlineStr">
        <is>
          <t>BURNABY, BC V5C 3V2</t>
        </is>
      </c>
      <c r="V67" s="19" t="inlineStr">
        <is>
          <t>O</t>
        </is>
      </c>
      <c r="W67" s="19" t="inlineStr">
        <is>
          <t>LA</t>
        </is>
      </c>
    </row>
    <row r="68" ht="15.75" customHeight="1" s="102">
      <c r="A68" s="13">
        <f>IF(B68="","-",IF(COUNTIF(E.DETACHED!B:B,B68)+COUNTIF('A.S.PRINTOUT'!B:B,B68)&gt;1,COUNTIF(E.DETACHED!B:B,B68)+COUNTIF('A.S.PRINTOUT'!B:B,B68)-1,"-"))</f>
        <v/>
      </c>
      <c r="B68" s="19" t="inlineStr">
        <is>
          <t>4623 ALPHA DRIVE</t>
        </is>
      </c>
      <c r="C68" s="24" t="inlineStr">
        <is>
          <t>9/30/2026</t>
        </is>
      </c>
      <c r="D68" s="22" t="n">
        <v>4700000</v>
      </c>
      <c r="E68" s="20" t="n">
        <v>45902</v>
      </c>
      <c r="F68" s="22">
        <f>IF(E68="","",MAX(0, TODAY() -
  IF(ISNUMBER(E68),
     E68,
     IFERROR(
        DATEVALUE(SUBSTITUTE(E68,CHAR(160)," ")),
        DATE(VALUE(RIGHT(E68,4)),
             VALUE(LEFT(E68,FIND("/",E68)-1)),
             VALUE(MID(E68,FIND("/",E68)+1, FIND("/",E68, FIND("/",E68)+1)-FIND("/",E68)-1))
        )
     )
  )
))</f>
        <v/>
      </c>
      <c r="G68" s="21" t="n">
        <v>1</v>
      </c>
      <c r="H68" s="21" t="n">
        <v>1957</v>
      </c>
      <c r="I68" s="21" t="n">
        <v>7442</v>
      </c>
      <c r="J68" s="21" t="n">
        <v>6</v>
      </c>
      <c r="K68" s="21" t="n">
        <v>2</v>
      </c>
      <c r="L68" s="22" t="n">
        <v>2900</v>
      </c>
      <c r="M68" s="21" t="n">
        <v>1</v>
      </c>
      <c r="N68" s="116" t="n">
        <v>2005000</v>
      </c>
      <c r="O68" s="116" t="n">
        <v>2051700</v>
      </c>
      <c r="P68" s="30">
        <f>IF(C68="","",
   IF(ISNUMBER(C68),
      _xlfn.LET(_xlpm.days, C68 - TODAY(), IF(_xlpm.days&lt;0, "Expired", _xlpm.days)),
      _xlfn.LET(
         _xlpm.txt, C68,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R68" s="95" t="inlineStr">
        <is>
          <t>R3044885,</t>
        </is>
      </c>
      <c r="S68" s="94" t="inlineStr">
        <is>
          <t>CHARLES WILLIAM CLIFFORD WHITTAKER</t>
        </is>
      </c>
      <c r="T68" s="19" t="inlineStr">
        <is>
          <t>4623 ALPHA DRIVE</t>
        </is>
      </c>
      <c r="U68" s="19" t="inlineStr">
        <is>
          <t>BURNABY, BC V5C 3M8</t>
        </is>
      </c>
      <c r="V68" s="19" t="inlineStr">
        <is>
          <t>O</t>
        </is>
      </c>
    </row>
    <row r="69" ht="15.75" customHeight="1" s="102">
      <c r="A69" s="13">
        <f>IF(B69="","-",IF(COUNTIF(E.DETACHED!B:B,B69)+COUNTIF('A.S.PRINTOUT'!B:B,B69)&gt;1,COUNTIF(E.DETACHED!B:B,B69)+COUNTIF('A.S.PRINTOUT'!B:B,B69)-1,"-"))</f>
        <v/>
      </c>
      <c r="B69" s="19" t="inlineStr">
        <is>
          <t>4661 NAPIER STREET</t>
        </is>
      </c>
      <c r="C69" s="19" t="inlineStr">
        <is>
          <t>7/10/2026</t>
        </is>
      </c>
      <c r="D69" s="113" t="n">
        <v>2099990</v>
      </c>
      <c r="E69" s="31" t="inlineStr">
        <is>
          <t>7/11/2025</t>
        </is>
      </c>
      <c r="F69" s="22">
        <f>IF(E69="","",MAX(0, TODAY() -
  IF(ISNUMBER(E69),
     E69,
     IFERROR(
        DATEVALUE(SUBSTITUTE(E69,CHAR(160)," ")),
        DATE(VALUE(RIGHT(E69,4)),
             VALUE(LEFT(E69,FIND("/",E69)-1)),
             VALUE(MID(E69,FIND("/",E69)+1, FIND("/",E69, FIND("/",E69)+1)-FIND("/",E69)-1))
        )
     )
  )
))</f>
        <v/>
      </c>
      <c r="G69" s="21" t="n">
        <v>1</v>
      </c>
      <c r="H69" s="21" t="n">
        <v>1953</v>
      </c>
      <c r="I69" s="21" t="n">
        <v>6100</v>
      </c>
      <c r="J69" s="21" t="n">
        <v>4</v>
      </c>
      <c r="K69" s="21" t="n">
        <v>2</v>
      </c>
      <c r="L69" s="22" t="n">
        <v>1931</v>
      </c>
      <c r="M69" s="21" t="n">
        <v>1</v>
      </c>
      <c r="N69" s="115" t="n">
        <v>1867000</v>
      </c>
      <c r="O69" s="115" t="n">
        <v>1939700</v>
      </c>
      <c r="P69" s="30">
        <f>IF(C69="","",
   IF(ISNUMBER(C69),
      _xlfn.LET(_xlpm.days, C69 - TODAY(), IF(_xlpm.days&lt;0, "Expired", _xlpm.days)),
      _xlfn.LET(
         _xlpm.txt, C69,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R69" s="93" t="inlineStr">
        <is>
          <t>R3026321,</t>
        </is>
      </c>
      <c r="S69" s="98" t="inlineStr">
        <is>
          <t>YOA BAIN SIU</t>
        </is>
      </c>
      <c r="T69" s="19" t="inlineStr">
        <is>
          <t xml:space="preserve">117 CRANBERRY COURT </t>
        </is>
      </c>
      <c r="U69" s="19" t="inlineStr">
        <is>
          <t>PORT MOODY, BC V3H 0C4</t>
        </is>
      </c>
      <c r="V69" s="19" t="inlineStr">
        <is>
          <t>T</t>
        </is>
      </c>
    </row>
    <row r="70" ht="15.75" customHeight="1" s="102">
      <c r="A70" s="13">
        <f>IF(B70="","-",IF(COUNTIF(E.DETACHED!B:B,B70)+COUNTIF('A.S.PRINTOUT'!B:B,B70)&gt;1,COUNTIF(E.DETACHED!B:B,B70)+COUNTIF('A.S.PRINTOUT'!B:B,B70)-1,"-"))</f>
        <v/>
      </c>
      <c r="B70" s="19" t="inlineStr">
        <is>
          <t>4564 VENABLES STREET</t>
        </is>
      </c>
      <c r="C70" s="20" t="n">
        <v>46326</v>
      </c>
      <c r="D70" s="113" t="n">
        <v>2788000</v>
      </c>
      <c r="E70" s="20" t="n">
        <v>45951</v>
      </c>
      <c r="F70" s="22">
        <f>IF(E70="","",MAX(0, TODAY() -
  IF(ISNUMBER(E70),
     E70,
     IFERROR(
        DATEVALUE(SUBSTITUTE(E70,CHAR(160)," ")),
        DATE(VALUE(RIGHT(E70,4)),
             VALUE(LEFT(E70,FIND("/",E70)-1)),
             VALUE(MID(E70,FIND("/",E70)+1, FIND("/",E70, FIND("/",E70)+1)-FIND("/",E70)-1))
        )
     )
  )
))</f>
        <v/>
      </c>
      <c r="G70" s="21" t="n">
        <v>1</v>
      </c>
      <c r="H70" s="21" t="n">
        <v>2016</v>
      </c>
      <c r="I70" s="21" t="n">
        <v>4026</v>
      </c>
      <c r="J70" s="21" t="n">
        <v>6</v>
      </c>
      <c r="K70" s="21" t="n">
        <v>6</v>
      </c>
      <c r="L70" s="21" t="n">
        <v>3097</v>
      </c>
      <c r="M70" s="21" t="n">
        <v>3</v>
      </c>
      <c r="N70" s="116" t="n">
        <v>1660000</v>
      </c>
      <c r="O70" s="116" t="n">
        <v>2786000</v>
      </c>
      <c r="P70" s="30">
        <f>IF(C70="","",
   IF(ISNUMBER(C70),
      _xlfn.LET(_xlpm.days, C70 - TODAY(), IF(_xlpm.days&lt;0, "Expired", _xlpm.days)),
      _xlfn.LET(
         _xlpm.txt, C70,
         _xlpm.y, RIGHT(_xlpm.txt,4)*1,
         _xlpm.m, LEFT(_xlpm.txt, FIND("/",_xlpm.txt)-1)*1,
         _xlpm.d, MID(_xlpm.txt, FIND("/",_xlpm.txt)+1, FIND("/",_xlpm.txt, FIND("/",_xlpm.txt)+1) - FIND("/",_xlpm.txt) -1 )*1,
         _xlpm.days, DATE(_xlpm.y,_xlpm.m,_xlpm.d) - TODAY(),
         IF(_xlpm.days&lt;0, "Expired", _xlpm.days)
      )
   )
)</f>
        <v/>
      </c>
      <c r="R70" s="93" t="inlineStr">
        <is>
          <t>R3060414,</t>
        </is>
      </c>
      <c r="S70" s="99" t="inlineStr">
        <is>
          <t>XUEMEI CHEN</t>
        </is>
      </c>
      <c r="T70" s="19" t="inlineStr">
        <is>
          <t>4564 VENABLES STREET</t>
        </is>
      </c>
      <c r="U70" s="19" t="inlineStr">
        <is>
          <t>BURNABY, BC V5C 3A7</t>
        </is>
      </c>
      <c r="V70" s="19" t="inlineStr">
        <is>
          <t>O</t>
        </is>
      </c>
    </row>
    <row r="71" ht="15.75" customHeight="1" s="102">
      <c r="A71" s="13">
        <f>IF(B71="","-",IF(COUNTIF(E.DETACHED!B:B,B71)+COUNTIF('A.S.PRINTOUT'!B:B,B71)&gt;1,COUNTIF(E.DETACHED!B:B,B71)+COUNTIF('A.S.PRINTOUT'!B:B,B71)-1,"-"))</f>
        <v/>
      </c>
      <c r="E71" s="21" t="n"/>
      <c r="F71" s="22">
        <f>IF(E71="","",MAX(0, TODAY() -
IF(ISNUMBER(E71),
E71,
IFERROR(
DATEVALUE(SUBSTITUTE(E71,CHAR(160)," ")),
DATE(VALUE(RIGHT(E71,4)),
VALUE(LEFT(E71,FIND("/",E71)-1)),
VALUE(MID(E71,FIND("/",E71)+1, FIND("/",E71, FIND("/",E71)+1)-FIND("/",E71)-1))
)
)
)
))</f>
        <v/>
      </c>
      <c r="G71" s="21" t="n"/>
      <c r="H71" s="21" t="n"/>
      <c r="I71" s="21" t="n"/>
      <c r="J71" s="21" t="n"/>
      <c r="K71" s="21" t="n"/>
      <c r="L71" s="21" t="n"/>
      <c r="M71" s="21" t="n"/>
      <c r="N71" s="25" t="n"/>
      <c r="O71" s="25" t="n"/>
    </row>
    <row r="72" ht="15.75" customHeight="1" s="102">
      <c r="A72" s="13">
        <f>IF(B72="","-",IF(COUNTIF(E.DETACHED!B:B,B72)+COUNTIF('A.S.PRINTOUT'!B:B,B72)&gt;1,COUNTIF(E.DETACHED!B:B,B72)+COUNTIF('A.S.PRINTOUT'!B:B,B72)-1,"-"))</f>
        <v/>
      </c>
      <c r="E72" s="21" t="n"/>
      <c r="F72" s="22">
        <f>IF(E72="","",MAX(0, TODAY() -
IF(ISNUMBER(E72),
E72,
IFERROR(
DATEVALUE(SUBSTITUTE(E72,CHAR(160)," ")),
DATE(VALUE(RIGHT(E72,4)),
VALUE(LEFT(E72,FIND("/",E72)-1)),
VALUE(MID(E72,FIND("/",E72)+1, FIND("/",E72, FIND("/",E72)+1)-FIND("/",E72)-1))
)
)
)
))</f>
        <v/>
      </c>
      <c r="G72" s="21" t="n"/>
      <c r="H72" s="21" t="n"/>
      <c r="I72" s="21" t="n"/>
      <c r="J72" s="21" t="n"/>
      <c r="K72" s="21" t="n"/>
      <c r="L72" s="21" t="n"/>
      <c r="M72" s="21" t="n"/>
      <c r="N72" s="25" t="n"/>
      <c r="O72" s="25" t="n"/>
    </row>
    <row r="73" ht="15.75" customHeight="1" s="102">
      <c r="E73" s="21" t="n"/>
      <c r="F73" s="22">
        <f>IF(E73="","",MAX(0, TODAY() -
IF(ISNUMBER(E73),
E73,
IFERROR(
DATEVALUE(SUBSTITUTE(E73,CHAR(160)," ")),
DATE(VALUE(RIGHT(E73,4)),
VALUE(LEFT(E73,FIND("/",E73)-1)),
VALUE(MID(E73,FIND("/",E73)+1, FIND("/",E73, FIND("/",E73)+1)-FIND("/",E73)-1))
)
)
)
))</f>
        <v/>
      </c>
      <c r="G73" s="21" t="n"/>
      <c r="H73" s="21" t="n"/>
      <c r="I73" s="21" t="n"/>
      <c r="J73" s="21" t="n"/>
      <c r="K73" s="21" t="n"/>
      <c r="L73" s="21" t="n"/>
      <c r="M73" s="21" t="n"/>
      <c r="N73" s="25" t="n"/>
      <c r="O73" s="25" t="n"/>
    </row>
    <row r="74" ht="15.75" customHeight="1" s="102">
      <c r="E74" s="21" t="n"/>
      <c r="F74" s="22">
        <f>IF(E74="","",MAX(0, TODAY() -
IF(ISNUMBER(E74),
E74,
IFERROR(
DATEVALUE(SUBSTITUTE(E74,CHAR(160)," ")),
DATE(VALUE(RIGHT(E74,4)),
VALUE(LEFT(E74,FIND("/",E74)-1)),
VALUE(MID(E74,FIND("/",E74)+1, FIND("/",E74, FIND("/",E74)+1)-FIND("/",E74)-1))
)
)
)
))</f>
        <v/>
      </c>
      <c r="G74" s="21" t="n"/>
      <c r="H74" s="21" t="n"/>
      <c r="I74" s="21" t="n"/>
      <c r="J74" s="21" t="n"/>
      <c r="K74" s="21" t="n"/>
      <c r="L74" s="21" t="n"/>
      <c r="M74" s="21" t="n"/>
      <c r="N74" s="25" t="n"/>
      <c r="O74" s="25" t="n"/>
    </row>
    <row r="75" ht="15.75" customHeight="1" s="102">
      <c r="E75" s="21" t="n"/>
      <c r="F75" s="22">
        <f>IF(E75="","",MAX(0, TODAY() -
IF(ISNUMBER(E75),
E75,
IFERROR(
DATEVALUE(SUBSTITUTE(E75,CHAR(160)," ")),
DATE(VALUE(RIGHT(E75,4)),
VALUE(LEFT(E75,FIND("/",E75)-1)),
VALUE(MID(E75,FIND("/",E75)+1, FIND("/",E75, FIND("/",E75)+1)-FIND("/",E75)-1))
)
)
)
))</f>
        <v/>
      </c>
      <c r="G75" s="21" t="n"/>
      <c r="H75" s="21" t="n"/>
      <c r="I75" s="21" t="n"/>
      <c r="J75" s="21" t="n"/>
      <c r="K75" s="21" t="n"/>
      <c r="L75" s="21" t="n"/>
      <c r="M75" s="21" t="n"/>
      <c r="N75" s="25" t="n"/>
      <c r="O75" s="25" t="n"/>
    </row>
    <row r="76" ht="15.75" customHeight="1" s="102">
      <c r="E76" s="21" t="n"/>
      <c r="F76" s="22">
        <f>IF(E76="","",MAX(0, TODAY() -
IF(ISNUMBER(E76),
E76,
IFERROR(
DATEVALUE(SUBSTITUTE(E76,CHAR(160)," ")),
DATE(VALUE(RIGHT(E76,4)),
VALUE(LEFT(E76,FIND("/",E76)-1)),
VALUE(MID(E76,FIND("/",E76)+1, FIND("/",E76, FIND("/",E76)+1)-FIND("/",E76)-1))
)
)
)
))</f>
        <v/>
      </c>
      <c r="G76" s="21" t="n"/>
      <c r="H76" s="21" t="n"/>
      <c r="I76" s="21" t="n"/>
      <c r="J76" s="21" t="n"/>
      <c r="K76" s="21" t="n"/>
      <c r="L76" s="21" t="n"/>
      <c r="M76" s="21" t="n"/>
      <c r="N76" s="25" t="n"/>
      <c r="O76" s="25" t="n"/>
    </row>
    <row r="77" ht="15.75" customHeight="1" s="102">
      <c r="E77" s="21" t="n"/>
      <c r="F77" s="22">
        <f>IF(E77="","",MAX(0, TODAY() -
IF(ISNUMBER(E77),
E77,
IFERROR(
DATEVALUE(SUBSTITUTE(E77,CHAR(160)," ")),
DATE(VALUE(RIGHT(E77,4)),
VALUE(LEFT(E77,FIND("/",E77)-1)),
VALUE(MID(E77,FIND("/",E77)+1, FIND("/",E77, FIND("/",E77)+1)-FIND("/",E77)-1))
)
)
)
))</f>
        <v/>
      </c>
      <c r="G77" s="21" t="n"/>
      <c r="H77" s="21" t="n"/>
      <c r="I77" s="21" t="n"/>
      <c r="J77" s="21" t="n"/>
      <c r="K77" s="21" t="n"/>
      <c r="L77" s="21" t="n"/>
      <c r="M77" s="21" t="n"/>
      <c r="N77" s="25" t="n"/>
      <c r="O77" s="25" t="n"/>
    </row>
    <row r="78" ht="15.75" customHeight="1" s="102">
      <c r="E78" s="21" t="n"/>
      <c r="F78" s="22">
        <f>IF(E78="","",MAX(0, TODAY() -
IF(ISNUMBER(E78),
E78,
IFERROR(
DATEVALUE(SUBSTITUTE(E78,CHAR(160)," ")),
DATE(VALUE(RIGHT(E78,4)),
VALUE(LEFT(E78,FIND("/",E78)-1)),
VALUE(MID(E78,FIND("/",E78)+1, FIND("/",E78, FIND("/",E78)+1)-FIND("/",E78)-1))
)
)
)
))</f>
        <v/>
      </c>
      <c r="G78" s="21" t="n"/>
      <c r="H78" s="21" t="n"/>
      <c r="I78" s="21" t="n"/>
      <c r="J78" s="21" t="n"/>
      <c r="K78" s="21" t="n"/>
      <c r="L78" s="21" t="n"/>
      <c r="M78" s="21" t="n"/>
      <c r="N78" s="25" t="n"/>
      <c r="O78" s="25" t="n"/>
    </row>
    <row r="79" ht="15.75" customHeight="1" s="102">
      <c r="E79" s="21" t="n"/>
      <c r="F79" s="22">
        <f>IF(E79="","",MAX(0, TODAY() -
IF(ISNUMBER(E79),
E79,
IFERROR(
DATEVALUE(SUBSTITUTE(E79,CHAR(160)," ")),
DATE(VALUE(RIGHT(E79,4)),
VALUE(LEFT(E79,FIND("/",E79)-1)),
VALUE(MID(E79,FIND("/",E79)+1, FIND("/",E79, FIND("/",E79)+1)-FIND("/",E79)-1))
)
)
)
))</f>
        <v/>
      </c>
      <c r="G79" s="21" t="n"/>
      <c r="H79" s="21" t="n"/>
      <c r="I79" s="21" t="n"/>
      <c r="J79" s="21" t="n"/>
      <c r="K79" s="21" t="n"/>
      <c r="L79" s="21" t="n"/>
      <c r="M79" s="21" t="n"/>
      <c r="N79" s="25" t="n"/>
      <c r="O79" s="25" t="n"/>
    </row>
    <row r="80" ht="15.75" customHeight="1" s="102">
      <c r="E80" s="21" t="n"/>
      <c r="F80" s="22">
        <f>IF(E80="","",MAX(0, TODAY() -
IF(ISNUMBER(E80),
E80,
IFERROR(
DATEVALUE(SUBSTITUTE(E80,CHAR(160)," ")),
DATE(VALUE(RIGHT(E80,4)),
VALUE(LEFT(E80,FIND("/",E80)-1)),
VALUE(MID(E80,FIND("/",E80)+1, FIND("/",E80, FIND("/",E80)+1)-FIND("/",E80)-1))
)
)
)
))</f>
        <v/>
      </c>
      <c r="G80" s="21" t="n"/>
      <c r="H80" s="21" t="n"/>
      <c r="I80" s="21" t="n"/>
      <c r="J80" s="21" t="n"/>
      <c r="K80" s="21" t="n"/>
      <c r="L80" s="21" t="n"/>
      <c r="M80" s="21" t="n"/>
      <c r="N80" s="25" t="n"/>
      <c r="O80" s="25" t="n"/>
    </row>
    <row r="81" ht="15.75" customHeight="1" s="102">
      <c r="E81" s="21" t="n"/>
      <c r="F81" s="22">
        <f>IF(E81="","",MAX(0, TODAY() -
IF(ISNUMBER(E81),
E81,
IFERROR(
DATEVALUE(SUBSTITUTE(E81,CHAR(160)," ")),
DATE(VALUE(RIGHT(E81,4)),
VALUE(LEFT(E81,FIND("/",E81)-1)),
VALUE(MID(E81,FIND("/",E81)+1, FIND("/",E81, FIND("/",E81)+1)-FIND("/",E81)-1))
)
)
)
))</f>
        <v/>
      </c>
      <c r="G81" s="21" t="n"/>
      <c r="H81" s="21" t="n"/>
      <c r="I81" s="21" t="n"/>
      <c r="J81" s="21" t="n"/>
      <c r="K81" s="21" t="n"/>
      <c r="L81" s="21" t="n"/>
      <c r="M81" s="21" t="n"/>
      <c r="N81" s="25" t="n"/>
      <c r="O81" s="25" t="n"/>
    </row>
    <row r="82" ht="15.75" customHeight="1" s="102">
      <c r="E82" s="21" t="n"/>
      <c r="F82" s="22">
        <f>IF(E82="","",MAX(0, TODAY() -
IF(ISNUMBER(E82),
E82,
IFERROR(
DATEVALUE(SUBSTITUTE(E82,CHAR(160)," ")),
DATE(VALUE(RIGHT(E82,4)),
VALUE(LEFT(E82,FIND("/",E82)-1)),
VALUE(MID(E82,FIND("/",E82)+1, FIND("/",E82, FIND("/",E82)+1)-FIND("/",E82)-1))
)
)
)
))</f>
        <v/>
      </c>
      <c r="G82" s="21" t="n"/>
      <c r="H82" s="21" t="n"/>
      <c r="I82" s="21" t="n"/>
      <c r="J82" s="21" t="n"/>
      <c r="K82" s="21" t="n"/>
      <c r="L82" s="21" t="n"/>
      <c r="M82" s="21" t="n"/>
      <c r="N82" s="25" t="n"/>
      <c r="O82" s="25" t="n"/>
    </row>
    <row r="83" ht="15.75" customHeight="1" s="102">
      <c r="E83" s="21" t="n"/>
      <c r="F83" s="22">
        <f>IF(E83="","",MAX(0, TODAY() -
IF(ISNUMBER(E83),
E83,
IFERROR(
DATEVALUE(SUBSTITUTE(E83,CHAR(160)," ")),
DATE(VALUE(RIGHT(E83,4)),
VALUE(LEFT(E83,FIND("/",E83)-1)),
VALUE(MID(E83,FIND("/",E83)+1, FIND("/",E83, FIND("/",E83)+1)-FIND("/",E83)-1))
)
)
)
))</f>
        <v/>
      </c>
      <c r="G83" s="21" t="n"/>
      <c r="H83" s="21" t="n"/>
      <c r="I83" s="21" t="n"/>
      <c r="J83" s="21" t="n"/>
      <c r="K83" s="21" t="n"/>
      <c r="L83" s="21" t="n"/>
      <c r="M83" s="21" t="n"/>
      <c r="N83" s="25" t="n"/>
      <c r="O83" s="25" t="n"/>
    </row>
    <row r="84" ht="15.75" customHeight="1" s="102">
      <c r="E84" s="21" t="n"/>
      <c r="F84" s="22">
        <f>IF(E84="","",MAX(0, TODAY() -
IF(ISNUMBER(E84),
E84,
IFERROR(
DATEVALUE(SUBSTITUTE(E84,CHAR(160)," ")),
DATE(VALUE(RIGHT(E84,4)),
VALUE(LEFT(E84,FIND("/",E84)-1)),
VALUE(MID(E84,FIND("/",E84)+1, FIND("/",E84, FIND("/",E84)+1)-FIND("/",E84)-1))
)
)
)
))</f>
        <v/>
      </c>
      <c r="G84" s="21" t="n"/>
      <c r="H84" s="21" t="n"/>
      <c r="I84" s="21" t="n"/>
      <c r="J84" s="21" t="n"/>
      <c r="K84" s="21" t="n"/>
      <c r="L84" s="21" t="n"/>
      <c r="M84" s="21" t="n"/>
      <c r="N84" s="25" t="n"/>
      <c r="O84" s="25" t="n"/>
    </row>
    <row r="85" ht="15.75" customHeight="1" s="102">
      <c r="E85" s="21" t="n"/>
      <c r="F85" s="22">
        <f>IF(E85="","",MAX(0, TODAY() -
IF(ISNUMBER(E85),
E85,
IFERROR(
DATEVALUE(SUBSTITUTE(E85,CHAR(160)," ")),
DATE(VALUE(RIGHT(E85,4)),
VALUE(LEFT(E85,FIND("/",E85)-1)),
VALUE(MID(E85,FIND("/",E85)+1, FIND("/",E85, FIND("/",E85)+1)-FIND("/",E85)-1))
)
)
)
))</f>
        <v/>
      </c>
      <c r="G85" s="21" t="n"/>
      <c r="H85" s="21" t="n"/>
      <c r="I85" s="21" t="n"/>
      <c r="J85" s="21" t="n"/>
      <c r="K85" s="21" t="n"/>
      <c r="L85" s="21" t="n"/>
      <c r="M85" s="21" t="n"/>
      <c r="N85" s="25" t="n"/>
      <c r="O85" s="25" t="n"/>
    </row>
    <row r="86" ht="15.75" customHeight="1" s="102">
      <c r="E86" s="21" t="n"/>
      <c r="F86" s="22">
        <f>IF(E86="","",MAX(0, TODAY() -
IF(ISNUMBER(E86),
E86,
IFERROR(
DATEVALUE(SUBSTITUTE(E86,CHAR(160)," ")),
DATE(VALUE(RIGHT(E86,4)),
VALUE(LEFT(E86,FIND("/",E86)-1)),
VALUE(MID(E86,FIND("/",E86)+1, FIND("/",E86, FIND("/",E86)+1)-FIND("/",E86)-1))
)
)
)
))</f>
        <v/>
      </c>
      <c r="G86" s="21" t="n"/>
      <c r="H86" s="21" t="n"/>
      <c r="I86" s="21" t="n"/>
      <c r="J86" s="21" t="n"/>
      <c r="K86" s="21" t="n"/>
      <c r="L86" s="21" t="n"/>
      <c r="M86" s="21" t="n"/>
      <c r="N86" s="25" t="n"/>
      <c r="O86" s="25" t="n"/>
    </row>
    <row r="87" ht="15.75" customHeight="1" s="102">
      <c r="E87" s="21" t="n"/>
      <c r="F87" s="22">
        <f>IF(E87="","",MAX(0, TODAY() -
IF(ISNUMBER(E87),
E87,
IFERROR(
DATEVALUE(SUBSTITUTE(E87,CHAR(160)," ")),
DATE(VALUE(RIGHT(E87,4)),
VALUE(LEFT(E87,FIND("/",E87)-1)),
VALUE(MID(E87,FIND("/",E87)+1, FIND("/",E87, FIND("/",E87)+1)-FIND("/",E87)-1))
)
)
)
))</f>
        <v/>
      </c>
      <c r="G87" s="21" t="n"/>
      <c r="H87" s="21" t="n"/>
      <c r="I87" s="21" t="n"/>
      <c r="J87" s="21" t="n"/>
      <c r="K87" s="21" t="n"/>
      <c r="L87" s="21" t="n"/>
      <c r="M87" s="21" t="n"/>
      <c r="N87" s="25" t="n"/>
      <c r="O87" s="25" t="n"/>
    </row>
    <row r="88" ht="15.75" customHeight="1" s="102">
      <c r="E88" s="21" t="n"/>
      <c r="F88" s="22">
        <f>IF(E88="","",MAX(0, TODAY() -
IF(ISNUMBER(E88),
E88,
IFERROR(
DATEVALUE(SUBSTITUTE(E88,CHAR(160)," ")),
DATE(VALUE(RIGHT(E88,4)),
VALUE(LEFT(E88,FIND("/",E88)-1)),
VALUE(MID(E88,FIND("/",E88)+1, FIND("/",E88, FIND("/",E88)+1)-FIND("/",E88)-1))
)
)
)
))</f>
        <v/>
      </c>
      <c r="G88" s="21" t="n"/>
      <c r="H88" s="21" t="n"/>
      <c r="I88" s="21" t="n"/>
      <c r="J88" s="21" t="n"/>
      <c r="K88" s="21" t="n"/>
      <c r="L88" s="21" t="n"/>
      <c r="M88" s="21" t="n"/>
      <c r="N88" s="25" t="n"/>
      <c r="O88" s="25" t="n"/>
    </row>
    <row r="89" ht="15.75" customHeight="1" s="102">
      <c r="E89" s="21" t="n"/>
      <c r="F89" s="22">
        <f>IF(E89="","",MAX(0, TODAY() -
IF(ISNUMBER(E89),
E89,
IFERROR(
DATEVALUE(SUBSTITUTE(E89,CHAR(160)," ")),
DATE(VALUE(RIGHT(E89,4)),
VALUE(LEFT(E89,FIND("/",E89)-1)),
VALUE(MID(E89,FIND("/",E89)+1, FIND("/",E89, FIND("/",E89)+1)-FIND("/",E89)-1))
)
)
)
))</f>
        <v/>
      </c>
      <c r="G89" s="21" t="n"/>
      <c r="H89" s="21" t="n"/>
      <c r="I89" s="21" t="n"/>
      <c r="J89" s="21" t="n"/>
      <c r="K89" s="21" t="n"/>
      <c r="L89" s="21" t="n"/>
      <c r="M89" s="21" t="n"/>
      <c r="N89" s="25" t="n"/>
      <c r="O89" s="25" t="n"/>
    </row>
    <row r="90" ht="15.75" customHeight="1" s="102">
      <c r="E90" s="21" t="n"/>
      <c r="F90" s="22">
        <f>IF(E90="","",MAX(0, TODAY() -
IF(ISNUMBER(E90),
E90,
IFERROR(
DATEVALUE(SUBSTITUTE(E90,CHAR(160)," ")),
DATE(VALUE(RIGHT(E90,4)),
VALUE(LEFT(E90,FIND("/",E90)-1)),
VALUE(MID(E90,FIND("/",E90)+1, FIND("/",E90, FIND("/",E90)+1)-FIND("/",E90)-1))
)
)
)
))</f>
        <v/>
      </c>
      <c r="G90" s="21" t="n"/>
      <c r="H90" s="21" t="n"/>
      <c r="I90" s="21" t="n"/>
      <c r="J90" s="21" t="n"/>
      <c r="K90" s="21" t="n"/>
      <c r="L90" s="21" t="n"/>
      <c r="M90" s="21" t="n"/>
      <c r="N90" s="25" t="n"/>
      <c r="O90" s="25" t="n"/>
    </row>
    <row r="91" ht="15.75" customHeight="1" s="102">
      <c r="E91" s="21" t="n"/>
      <c r="F91" s="22">
        <f>IF(E91="","",MAX(0, TODAY() -
IF(ISNUMBER(E91),
E91,
IFERROR(
DATEVALUE(SUBSTITUTE(E91,CHAR(160)," ")),
DATE(VALUE(RIGHT(E91,4)),
VALUE(LEFT(E91,FIND("/",E91)-1)),
VALUE(MID(E91,FIND("/",E91)+1, FIND("/",E91, FIND("/",E91)+1)-FIND("/",E91)-1))
)
)
)
))</f>
        <v/>
      </c>
      <c r="G91" s="21" t="n"/>
      <c r="H91" s="21" t="n"/>
      <c r="I91" s="21" t="n"/>
      <c r="J91" s="21" t="n"/>
      <c r="K91" s="21" t="n"/>
      <c r="L91" s="21" t="n"/>
      <c r="M91" s="21" t="n"/>
      <c r="N91" s="25" t="n"/>
      <c r="O91" s="25" t="n"/>
    </row>
    <row r="92" ht="15.75" customHeight="1" s="102">
      <c r="E92" s="21" t="n"/>
      <c r="F92" s="22">
        <f>IF(E92="","",MAX(0, TODAY() -
IF(ISNUMBER(E92),
E92,
IFERROR(
DATEVALUE(SUBSTITUTE(E92,CHAR(160)," ")),
DATE(VALUE(RIGHT(E92,4)),
VALUE(LEFT(E92,FIND("/",E92)-1)),
VALUE(MID(E92,FIND("/",E92)+1, FIND("/",E92, FIND("/",E92)+1)-FIND("/",E92)-1))
)
)
)
))</f>
        <v/>
      </c>
      <c r="G92" s="21" t="n"/>
      <c r="H92" s="21" t="n"/>
      <c r="I92" s="21" t="n"/>
      <c r="J92" s="21" t="n"/>
      <c r="K92" s="21" t="n"/>
      <c r="L92" s="21" t="n"/>
      <c r="M92" s="21" t="n"/>
      <c r="N92" s="25" t="n"/>
      <c r="O92" s="25" t="n"/>
    </row>
    <row r="93" ht="15.75" customHeight="1" s="102">
      <c r="E93" s="21" t="n"/>
      <c r="F93" s="22">
        <f>IF(E93="","",MAX(0, TODAY() -
IF(ISNUMBER(E93),
E93,
IFERROR(
DATEVALUE(SUBSTITUTE(E93,CHAR(160)," ")),
DATE(VALUE(RIGHT(E93,4)),
VALUE(LEFT(E93,FIND("/",E93)-1)),
VALUE(MID(E93,FIND("/",E93)+1, FIND("/",E93, FIND("/",E93)+1)-FIND("/",E93)-1))
)
)
)
))</f>
        <v/>
      </c>
      <c r="G93" s="21" t="n"/>
      <c r="H93" s="21" t="n"/>
      <c r="I93" s="21" t="n"/>
      <c r="J93" s="21" t="n"/>
      <c r="K93" s="21" t="n"/>
      <c r="L93" s="21" t="n"/>
      <c r="M93" s="21" t="n"/>
      <c r="N93" s="25" t="n"/>
      <c r="O93" s="25" t="n"/>
    </row>
    <row r="94" ht="15.75" customHeight="1" s="102">
      <c r="E94" s="21" t="n"/>
      <c r="F94" s="22">
        <f>IF(E94="","",MAX(0, TODAY() -
IF(ISNUMBER(E94),
E94,
IFERROR(
DATEVALUE(SUBSTITUTE(E94,CHAR(160)," ")),
DATE(VALUE(RIGHT(E94,4)),
VALUE(LEFT(E94,FIND("/",E94)-1)),
VALUE(MID(E94,FIND("/",E94)+1, FIND("/",E94, FIND("/",E94)+1)-FIND("/",E94)-1))
)
)
)
))</f>
        <v/>
      </c>
      <c r="G94" s="21" t="n"/>
      <c r="H94" s="21" t="n"/>
      <c r="I94" s="21" t="n"/>
      <c r="J94" s="21" t="n"/>
      <c r="K94" s="21" t="n"/>
      <c r="L94" s="21" t="n"/>
      <c r="M94" s="21" t="n"/>
      <c r="N94" s="25" t="n"/>
      <c r="O94" s="25" t="n"/>
    </row>
    <row r="95" ht="15.75" customHeight="1" s="102">
      <c r="E95" s="21" t="n"/>
      <c r="F95" s="22">
        <f>IF(E95="","",MAX(0, TODAY() -
IF(ISNUMBER(E95),
E95,
IFERROR(
DATEVALUE(SUBSTITUTE(E95,CHAR(160)," ")),
DATE(VALUE(RIGHT(E95,4)),
VALUE(LEFT(E95,FIND("/",E95)-1)),
VALUE(MID(E95,FIND("/",E95)+1, FIND("/",E95, FIND("/",E95)+1)-FIND("/",E95)-1))
)
)
)
))</f>
        <v/>
      </c>
      <c r="G95" s="21" t="n"/>
      <c r="H95" s="21" t="n"/>
      <c r="I95" s="21" t="n"/>
      <c r="J95" s="21" t="n"/>
      <c r="K95" s="21" t="n"/>
      <c r="L95" s="21" t="n"/>
      <c r="M95" s="21" t="n"/>
      <c r="N95" s="25" t="n"/>
      <c r="O95" s="25" t="n"/>
    </row>
    <row r="96" ht="15.75" customHeight="1" s="102">
      <c r="E96" s="21" t="n"/>
      <c r="F96" s="22">
        <f>IF(E96="","",MAX(0, TODAY() -
IF(ISNUMBER(E96),
E96,
IFERROR(
DATEVALUE(SUBSTITUTE(E96,CHAR(160)," ")),
DATE(VALUE(RIGHT(E96,4)),
VALUE(LEFT(E96,FIND("/",E96)-1)),
VALUE(MID(E96,FIND("/",E96)+1, FIND("/",E96, FIND("/",E96)+1)-FIND("/",E96)-1))
)
)
)
))</f>
        <v/>
      </c>
      <c r="G96" s="21" t="n"/>
      <c r="H96" s="21" t="n"/>
      <c r="I96" s="21" t="n"/>
      <c r="J96" s="21" t="n"/>
      <c r="K96" s="21" t="n"/>
      <c r="L96" s="21" t="n"/>
      <c r="M96" s="21" t="n"/>
      <c r="N96" s="25" t="n"/>
      <c r="O96" s="25" t="n"/>
    </row>
    <row r="97" ht="15.75" customHeight="1" s="102"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5" t="n"/>
      <c r="O97" s="25" t="n"/>
    </row>
    <row r="98" ht="15.75" customHeight="1" s="102"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5" t="n"/>
      <c r="O98" s="25" t="n"/>
    </row>
    <row r="99" ht="15.75" customHeight="1" s="102"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5" t="n"/>
      <c r="O99" s="25" t="n"/>
    </row>
    <row r="100" ht="15.75" customHeight="1" s="102"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5" t="n"/>
      <c r="O100" s="25" t="n"/>
    </row>
    <row r="101" ht="15.75" customHeight="1" s="102"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5" t="n"/>
      <c r="O101" s="25" t="n"/>
    </row>
    <row r="102" ht="15.75" customHeight="1" s="102"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5" t="n"/>
      <c r="O102" s="25" t="n"/>
    </row>
    <row r="103" ht="15.75" customHeight="1" s="102"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5" t="n"/>
      <c r="O103" s="25" t="n"/>
    </row>
    <row r="104" ht="15.75" customHeight="1" s="102"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5" t="n"/>
      <c r="O104" s="25" t="n"/>
    </row>
    <row r="105" ht="15.75" customHeight="1" s="102"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5" t="n"/>
      <c r="O105" s="25" t="n"/>
    </row>
    <row r="106" ht="15.75" customHeight="1" s="102"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5" t="n"/>
      <c r="O106" s="25" t="n"/>
    </row>
    <row r="107" ht="15.75" customHeight="1" s="102"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5" t="n"/>
      <c r="O107" s="25" t="n"/>
    </row>
    <row r="108" ht="15.75" customHeight="1" s="102"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5" t="n"/>
      <c r="O108" s="25" t="n"/>
    </row>
    <row r="109" ht="15.75" customHeight="1" s="102"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5" t="n"/>
      <c r="O109" s="25" t="n"/>
    </row>
    <row r="110" ht="15.75" customHeight="1" s="102"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5" t="n"/>
      <c r="O110" s="25" t="n"/>
    </row>
    <row r="111" ht="15.75" customHeight="1" s="102"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5" t="n"/>
      <c r="O111" s="25" t="n"/>
    </row>
    <row r="112" ht="15.75" customHeight="1" s="102"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5" t="n"/>
      <c r="O112" s="25" t="n"/>
    </row>
    <row r="113" ht="15.75" customHeight="1" s="102"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5" t="n"/>
      <c r="O113" s="25" t="n"/>
    </row>
    <row r="114" ht="15.75" customHeight="1" s="102"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5" t="n"/>
      <c r="O114" s="25" t="n"/>
    </row>
    <row r="115" ht="15.75" customHeight="1" s="102"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5" t="n"/>
      <c r="O115" s="25" t="n"/>
    </row>
    <row r="116" ht="15.75" customHeight="1" s="102"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5" t="n"/>
      <c r="O116" s="25" t="n"/>
    </row>
    <row r="117" ht="15.75" customHeight="1" s="102"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5" t="n"/>
      <c r="O117" s="25" t="n"/>
    </row>
    <row r="118" ht="15.75" customHeight="1" s="102"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5" t="n"/>
      <c r="O118" s="25" t="n"/>
    </row>
    <row r="119" ht="15.75" customHeight="1" s="102"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5" t="n"/>
      <c r="O119" s="25" t="n"/>
    </row>
    <row r="120" ht="15.75" customHeight="1" s="102"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5" t="n"/>
      <c r="O120" s="25" t="n"/>
    </row>
    <row r="121" ht="15.75" customHeight="1" s="102"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5" t="n"/>
      <c r="O121" s="25" t="n"/>
    </row>
    <row r="122" ht="15.75" customHeight="1" s="102"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5" t="n"/>
      <c r="O122" s="25" t="n"/>
    </row>
    <row r="123" ht="15.75" customHeight="1" s="102"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5" t="n"/>
      <c r="O123" s="25" t="n"/>
    </row>
    <row r="124" ht="15.75" customHeight="1" s="102"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5" t="n"/>
      <c r="O124" s="25" t="n"/>
    </row>
    <row r="125" ht="15.75" customHeight="1" s="102"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5" t="n"/>
      <c r="O125" s="25" t="n"/>
    </row>
    <row r="126" ht="15.75" customHeight="1" s="102"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5" t="n"/>
      <c r="O126" s="25" t="n"/>
    </row>
    <row r="127" ht="15.75" customHeight="1" s="102"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5" t="n"/>
      <c r="O127" s="25" t="n"/>
    </row>
    <row r="128" ht="15.75" customHeight="1" s="102"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5" t="n"/>
      <c r="O128" s="25" t="n"/>
    </row>
    <row r="129" ht="15.75" customHeight="1" s="102"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5" t="n"/>
      <c r="O129" s="25" t="n"/>
    </row>
    <row r="130" ht="15.75" customHeight="1" s="102"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5" t="n"/>
      <c r="O130" s="25" t="n"/>
    </row>
    <row r="131" ht="15.75" customHeight="1" s="102"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5" t="n"/>
      <c r="O131" s="25" t="n"/>
    </row>
    <row r="132" ht="15.75" customHeight="1" s="102"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5" t="n"/>
      <c r="O132" s="25" t="n"/>
    </row>
    <row r="133" ht="15.75" customHeight="1" s="102"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5" t="n"/>
      <c r="O133" s="25" t="n"/>
    </row>
    <row r="134" ht="15.75" customHeight="1" s="102"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5" t="n"/>
      <c r="O134" s="25" t="n"/>
    </row>
    <row r="135" ht="15.75" customHeight="1" s="102"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5" t="n"/>
      <c r="O135" s="25" t="n"/>
    </row>
    <row r="136" ht="15.75" customHeight="1" s="102"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5" t="n"/>
      <c r="O136" s="25" t="n"/>
    </row>
    <row r="137" ht="15.75" customHeight="1" s="102"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5" t="n"/>
      <c r="O137" s="25" t="n"/>
    </row>
    <row r="138" ht="15.75" customHeight="1" s="102"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5" t="n"/>
      <c r="O138" s="25" t="n"/>
    </row>
    <row r="139" ht="15.75" customHeight="1" s="102"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5" t="n"/>
      <c r="O139" s="25" t="n"/>
    </row>
    <row r="140" ht="15.75" customHeight="1" s="102"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5" t="n"/>
      <c r="O140" s="25" t="n"/>
    </row>
    <row r="141" ht="15.75" customHeight="1" s="102"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5" t="n"/>
      <c r="O141" s="25" t="n"/>
    </row>
    <row r="142" ht="15.75" customHeight="1" s="102"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5" t="n"/>
      <c r="O142" s="25" t="n"/>
    </row>
    <row r="143" ht="15.75" customHeight="1" s="102"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5" t="n"/>
      <c r="O143" s="25" t="n"/>
    </row>
    <row r="144" ht="15.75" customHeight="1" s="102"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5" t="n"/>
      <c r="O144" s="25" t="n"/>
    </row>
    <row r="145" ht="15.75" customHeight="1" s="102"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5" t="n"/>
      <c r="O145" s="25" t="n"/>
    </row>
    <row r="146" ht="15.75" customHeight="1" s="102"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5" t="n"/>
      <c r="O146" s="25" t="n"/>
    </row>
    <row r="147" ht="15.75" customHeight="1" s="102"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5" t="n"/>
      <c r="O147" s="25" t="n"/>
    </row>
    <row r="148" ht="15.75" customHeight="1" s="102"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5" t="n"/>
      <c r="O148" s="25" t="n"/>
    </row>
    <row r="149" ht="15.75" customHeight="1" s="102"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5" t="n"/>
      <c r="O149" s="25" t="n"/>
    </row>
    <row r="150" ht="15.75" customHeight="1" s="102"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5" t="n"/>
      <c r="O150" s="25" t="n"/>
    </row>
    <row r="151" ht="15.75" customHeight="1" s="102"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5" t="n"/>
      <c r="O151" s="25" t="n"/>
    </row>
    <row r="152" ht="15.75" customHeight="1" s="102"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5" t="n"/>
      <c r="O152" s="25" t="n"/>
    </row>
    <row r="153" ht="15.75" customHeight="1" s="102"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5" t="n"/>
      <c r="O153" s="25" t="n"/>
    </row>
    <row r="154" ht="15.75" customHeight="1" s="102"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5" t="n"/>
      <c r="O154" s="25" t="n"/>
    </row>
    <row r="155" ht="15.75" customHeight="1" s="102"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5" t="n"/>
      <c r="O155" s="25" t="n"/>
    </row>
    <row r="156" ht="15.75" customHeight="1" s="102"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5" t="n"/>
      <c r="O156" s="25" t="n"/>
    </row>
    <row r="157" ht="15.75" customHeight="1" s="102"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5" t="n"/>
      <c r="O157" s="25" t="n"/>
    </row>
    <row r="158" ht="15.75" customHeight="1" s="102"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5" t="n"/>
      <c r="O158" s="25" t="n"/>
    </row>
    <row r="159" ht="15.75" customHeight="1" s="102"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5" t="n"/>
      <c r="O159" s="25" t="n"/>
    </row>
    <row r="160" ht="15.75" customHeight="1" s="102"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5" t="n"/>
      <c r="O160" s="25" t="n"/>
    </row>
    <row r="161" ht="15.75" customHeight="1" s="102"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5" t="n"/>
      <c r="O161" s="25" t="n"/>
    </row>
    <row r="162" ht="15.75" customHeight="1" s="102"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5" t="n"/>
      <c r="O162" s="25" t="n"/>
    </row>
    <row r="163" ht="15.75" customHeight="1" s="102"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5" t="n"/>
      <c r="O163" s="25" t="n"/>
    </row>
    <row r="164" ht="15.75" customHeight="1" s="102"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5" t="n"/>
      <c r="O164" s="25" t="n"/>
    </row>
    <row r="165" ht="15.75" customHeight="1" s="102"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5" t="n"/>
      <c r="O165" s="25" t="n"/>
    </row>
    <row r="166" ht="15.75" customHeight="1" s="102"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5" t="n"/>
      <c r="O166" s="25" t="n"/>
    </row>
    <row r="167" ht="15.75" customHeight="1" s="102"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5" t="n"/>
      <c r="O167" s="25" t="n"/>
    </row>
    <row r="168" ht="15.75" customHeight="1" s="102"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5" t="n"/>
      <c r="O168" s="25" t="n"/>
    </row>
    <row r="169" ht="15.75" customHeight="1" s="102"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5" t="n"/>
      <c r="O169" s="25" t="n"/>
    </row>
    <row r="170" ht="15.75" customHeight="1" s="102"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5" t="n"/>
      <c r="O170" s="25" t="n"/>
    </row>
    <row r="171" ht="15.75" customHeight="1" s="102"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5" t="n"/>
      <c r="O171" s="25" t="n"/>
    </row>
    <row r="172" ht="15.75" customHeight="1" s="102"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5" t="n"/>
      <c r="O172" s="25" t="n"/>
    </row>
    <row r="173" ht="15.75" customHeight="1" s="102"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5" t="n"/>
      <c r="O173" s="25" t="n"/>
    </row>
    <row r="174" ht="15.75" customHeight="1" s="102"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5" t="n"/>
      <c r="O174" s="25" t="n"/>
    </row>
    <row r="175" ht="15.75" customHeight="1" s="102"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5" t="n"/>
      <c r="O175" s="25" t="n"/>
    </row>
    <row r="176" ht="15.75" customHeight="1" s="102"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5" t="n"/>
      <c r="O176" s="25" t="n"/>
    </row>
    <row r="177" ht="15.75" customHeight="1" s="102"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5" t="n"/>
      <c r="O177" s="25" t="n"/>
    </row>
    <row r="178" ht="15.75" customHeight="1" s="102"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5" t="n"/>
      <c r="O178" s="25" t="n"/>
    </row>
    <row r="179" ht="15.75" customHeight="1" s="102"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5" t="n"/>
      <c r="O179" s="25" t="n"/>
    </row>
    <row r="180" ht="15.75" customHeight="1" s="102"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5" t="n"/>
      <c r="O180" s="25" t="n"/>
    </row>
    <row r="181" ht="15.75" customHeight="1" s="102"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5" t="n"/>
      <c r="O181" s="25" t="n"/>
    </row>
    <row r="182" ht="15.75" customHeight="1" s="102"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5" t="n"/>
      <c r="O182" s="25" t="n"/>
    </row>
    <row r="183" ht="15.75" customHeight="1" s="102"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5" t="n"/>
      <c r="O183" s="25" t="n"/>
    </row>
    <row r="184" ht="15.75" customHeight="1" s="102"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5" t="n"/>
      <c r="O184" s="25" t="n"/>
    </row>
    <row r="185" ht="15.75" customHeight="1" s="102"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5" t="n"/>
      <c r="O185" s="25" t="n"/>
    </row>
    <row r="186" ht="15.75" customHeight="1" s="102"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5" t="n"/>
      <c r="O186" s="25" t="n"/>
    </row>
    <row r="187" ht="15.75" customHeight="1" s="102"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5" t="n"/>
      <c r="O187" s="25" t="n"/>
    </row>
    <row r="188" ht="15.75" customHeight="1" s="102"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5" t="n"/>
      <c r="O188" s="25" t="n"/>
    </row>
    <row r="189" ht="15.75" customHeight="1" s="102"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5" t="n"/>
      <c r="O189" s="25" t="n"/>
    </row>
    <row r="190" ht="15.75" customHeight="1" s="102"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5" t="n"/>
      <c r="O190" s="25" t="n"/>
    </row>
    <row r="191" ht="15.75" customHeight="1" s="102"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5" t="n"/>
      <c r="O191" s="25" t="n"/>
    </row>
    <row r="192" ht="15.75" customHeight="1" s="102"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5" t="n"/>
      <c r="O192" s="25" t="n"/>
    </row>
    <row r="193" ht="15.75" customHeight="1" s="102"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5" t="n"/>
      <c r="O193" s="25" t="n"/>
    </row>
    <row r="194" ht="15.75" customHeight="1" s="102"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5" t="n"/>
      <c r="O194" s="25" t="n"/>
    </row>
    <row r="195" ht="15.75" customHeight="1" s="102"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5" t="n"/>
      <c r="O195" s="25" t="n"/>
    </row>
    <row r="196" ht="15.75" customHeight="1" s="102"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5" t="n"/>
      <c r="O196" s="25" t="n"/>
    </row>
    <row r="197" ht="15.75" customHeight="1" s="102"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5" t="n"/>
      <c r="O197" s="25" t="n"/>
    </row>
    <row r="198" ht="15.75" customHeight="1" s="102"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5" t="n"/>
      <c r="O198" s="25" t="n"/>
    </row>
    <row r="199" ht="15.75" customHeight="1" s="102"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5" t="n"/>
      <c r="O199" s="25" t="n"/>
    </row>
    <row r="200" ht="15.75" customHeight="1" s="102"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5" t="n"/>
      <c r="O200" s="25" t="n"/>
    </row>
    <row r="201" ht="15.75" customHeight="1" s="102"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5" t="n"/>
      <c r="O201" s="25" t="n"/>
    </row>
    <row r="202" ht="15.75" customHeight="1" s="102"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5" t="n"/>
      <c r="O202" s="25" t="n"/>
    </row>
    <row r="203" ht="15.75" customHeight="1" s="102"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5" t="n"/>
      <c r="O203" s="25" t="n"/>
    </row>
    <row r="204" ht="15.75" customHeight="1" s="102"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5" t="n"/>
      <c r="O204" s="25" t="n"/>
    </row>
    <row r="205" ht="15.75" customHeight="1" s="102"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5" t="n"/>
      <c r="O205" s="25" t="n"/>
    </row>
    <row r="206" ht="15.75" customHeight="1" s="102"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5" t="n"/>
      <c r="O206" s="25" t="n"/>
    </row>
    <row r="207" ht="15.75" customHeight="1" s="102"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5" t="n"/>
      <c r="O207" s="25" t="n"/>
    </row>
    <row r="208" ht="15.75" customHeight="1" s="102"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5" t="n"/>
      <c r="O208" s="25" t="n"/>
    </row>
    <row r="209" ht="15.75" customHeight="1" s="102"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5" t="n"/>
      <c r="O209" s="25" t="n"/>
    </row>
    <row r="210" ht="15.75" customHeight="1" s="102"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5" t="n"/>
      <c r="O210" s="25" t="n"/>
    </row>
    <row r="211" ht="15.75" customHeight="1" s="102"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5" t="n"/>
      <c r="O211" s="25" t="n"/>
    </row>
    <row r="212" ht="15.75" customHeight="1" s="102"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5" t="n"/>
      <c r="O212" s="25" t="n"/>
    </row>
    <row r="213" ht="15.75" customHeight="1" s="102"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5" t="n"/>
      <c r="O213" s="25" t="n"/>
    </row>
    <row r="214" ht="15.75" customHeight="1" s="102"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5" t="n"/>
      <c r="O214" s="25" t="n"/>
    </row>
    <row r="215" ht="15.75" customHeight="1" s="102"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5" t="n"/>
      <c r="O215" s="25" t="n"/>
    </row>
    <row r="216" ht="15.75" customHeight="1" s="102"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5" t="n"/>
      <c r="O216" s="25" t="n"/>
    </row>
    <row r="217" ht="15.75" customHeight="1" s="102"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5" t="n"/>
      <c r="O217" s="25" t="n"/>
    </row>
    <row r="218" ht="15.75" customHeight="1" s="102"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5" t="n"/>
      <c r="O218" s="25" t="n"/>
    </row>
    <row r="219" ht="15.75" customHeight="1" s="102"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5" t="n"/>
      <c r="O219" s="25" t="n"/>
    </row>
    <row r="220" ht="15.75" customHeight="1" s="102"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5" t="n"/>
      <c r="O220" s="25" t="n"/>
    </row>
    <row r="221" ht="15.75" customHeight="1" s="102"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5" t="n"/>
      <c r="O221" s="25" t="n"/>
    </row>
    <row r="222" ht="15.75" customHeight="1" s="102"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5" t="n"/>
      <c r="O222" s="25" t="n"/>
    </row>
    <row r="223" ht="15.75" customHeight="1" s="102"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5" t="n"/>
      <c r="O223" s="25" t="n"/>
    </row>
    <row r="224" ht="15.75" customHeight="1" s="102"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5" t="n"/>
      <c r="O224" s="25" t="n"/>
    </row>
    <row r="225" ht="15.75" customHeight="1" s="102"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5" t="n"/>
      <c r="O225" s="25" t="n"/>
    </row>
    <row r="226" ht="15.75" customHeight="1" s="102"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5" t="n"/>
      <c r="O226" s="25" t="n"/>
    </row>
    <row r="227" ht="15.75" customHeight="1" s="102"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5" t="n"/>
      <c r="O227" s="25" t="n"/>
    </row>
    <row r="228" ht="15.75" customHeight="1" s="102"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5" t="n"/>
      <c r="O228" s="25" t="n"/>
    </row>
    <row r="229" ht="15.75" customHeight="1" s="102"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5" t="n"/>
      <c r="O229" s="25" t="n"/>
    </row>
    <row r="230" ht="15.75" customHeight="1" s="102"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5" t="n"/>
      <c r="O230" s="25" t="n"/>
    </row>
    <row r="231" ht="15.75" customHeight="1" s="102"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5" t="n"/>
      <c r="O231" s="25" t="n"/>
    </row>
    <row r="232" ht="15.75" customHeight="1" s="102"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5" t="n"/>
      <c r="O232" s="25" t="n"/>
    </row>
    <row r="233" ht="15.75" customHeight="1" s="102"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5" t="n"/>
      <c r="O233" s="25" t="n"/>
    </row>
    <row r="234" ht="15.75" customHeight="1" s="102"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5" t="n"/>
      <c r="O234" s="25" t="n"/>
    </row>
    <row r="235" ht="15.75" customHeight="1" s="102"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5" t="n"/>
      <c r="O235" s="25" t="n"/>
    </row>
    <row r="236" ht="15.75" customHeight="1" s="102"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5" t="n"/>
      <c r="O236" s="25" t="n"/>
    </row>
    <row r="237" ht="15.75" customHeight="1" s="102"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5" t="n"/>
      <c r="O237" s="25" t="n"/>
    </row>
    <row r="238" ht="15.75" customHeight="1" s="102"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5" t="n"/>
      <c r="O238" s="25" t="n"/>
    </row>
    <row r="239" ht="15.75" customHeight="1" s="102"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5" t="n"/>
      <c r="O239" s="25" t="n"/>
    </row>
    <row r="240" ht="15.75" customHeight="1" s="102"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5" t="n"/>
      <c r="O240" s="25" t="n"/>
    </row>
    <row r="241" ht="15.75" customHeight="1" s="102"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5" t="n"/>
      <c r="O241" s="25" t="n"/>
    </row>
    <row r="242" ht="15.75" customHeight="1" s="102"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5" t="n"/>
      <c r="O242" s="25" t="n"/>
    </row>
    <row r="243" ht="15.75" customHeight="1" s="102"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5" t="n"/>
      <c r="O243" s="25" t="n"/>
    </row>
    <row r="244" ht="15.75" customHeight="1" s="102"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5" t="n"/>
      <c r="O244" s="25" t="n"/>
    </row>
    <row r="245" ht="15.75" customHeight="1" s="102"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5" t="n"/>
      <c r="O245" s="25" t="n"/>
    </row>
    <row r="246" ht="15.75" customHeight="1" s="102"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5" t="n"/>
      <c r="O246" s="25" t="n"/>
    </row>
    <row r="247" ht="15.75" customHeight="1" s="102"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5" t="n"/>
      <c r="O247" s="25" t="n"/>
    </row>
    <row r="248" ht="15.75" customHeight="1" s="102"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5" t="n"/>
      <c r="O248" s="25" t="n"/>
    </row>
    <row r="249" ht="15.75" customHeight="1" s="102"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5" t="n"/>
      <c r="O249" s="25" t="n"/>
    </row>
    <row r="250" ht="15.75" customHeight="1" s="102"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5" t="n"/>
      <c r="O250" s="25" t="n"/>
    </row>
    <row r="251" ht="15.75" customHeight="1" s="102"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5" t="n"/>
      <c r="O251" s="25" t="n"/>
    </row>
    <row r="252" ht="15.75" customHeight="1" s="102"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5" t="n"/>
      <c r="O252" s="25" t="n"/>
    </row>
    <row r="253" ht="15.75" customHeight="1" s="102"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5" t="n"/>
      <c r="O253" s="25" t="n"/>
    </row>
    <row r="254" ht="15.75" customHeight="1" s="102"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5" t="n"/>
      <c r="O254" s="25" t="n"/>
    </row>
    <row r="255" ht="15.75" customHeight="1" s="102"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5" t="n"/>
      <c r="O255" s="25" t="n"/>
    </row>
    <row r="256" ht="15.75" customHeight="1" s="102"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5" t="n"/>
      <c r="O256" s="25" t="n"/>
    </row>
    <row r="257" ht="15.75" customHeight="1" s="102"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5" t="n"/>
      <c r="O257" s="25" t="n"/>
    </row>
    <row r="258" ht="15.75" customHeight="1" s="102"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5" t="n"/>
      <c r="O258" s="25" t="n"/>
    </row>
    <row r="259" ht="15.75" customHeight="1" s="102"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5" t="n"/>
      <c r="O259" s="25" t="n"/>
    </row>
    <row r="260" ht="15.75" customHeight="1" s="102"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5" t="n"/>
      <c r="O260" s="25" t="n"/>
    </row>
    <row r="261" ht="15.75" customHeight="1" s="102"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5" t="n"/>
      <c r="O261" s="25" t="n"/>
    </row>
    <row r="262" ht="15.75" customHeight="1" s="102"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5" t="n"/>
      <c r="O262" s="25" t="n"/>
    </row>
    <row r="263" ht="15.75" customHeight="1" s="102"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5" t="n"/>
      <c r="O263" s="25" t="n"/>
    </row>
    <row r="264" ht="15.75" customHeight="1" s="102"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5" t="n"/>
      <c r="O264" s="25" t="n"/>
    </row>
    <row r="265" ht="15.75" customHeight="1" s="102"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5" t="n"/>
      <c r="O265" s="25" t="n"/>
    </row>
    <row r="266" ht="15.75" customHeight="1" s="102"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5" t="n"/>
      <c r="O266" s="25" t="n"/>
    </row>
    <row r="267" ht="15.75" customHeight="1" s="102"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5" t="n"/>
      <c r="O267" s="25" t="n"/>
    </row>
    <row r="268" ht="15.75" customHeight="1" s="102"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5" t="n"/>
      <c r="O268" s="25" t="n"/>
    </row>
    <row r="269" ht="15.75" customHeight="1" s="102"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5" t="n"/>
      <c r="O269" s="25" t="n"/>
    </row>
    <row r="270" ht="15.75" customHeight="1" s="102"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5" t="n"/>
      <c r="O270" s="25" t="n"/>
    </row>
    <row r="271" ht="15.75" customHeight="1" s="102"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5" t="n"/>
      <c r="O271" s="25" t="n"/>
    </row>
    <row r="272" ht="15.75" customHeight="1" s="102"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5" t="n"/>
      <c r="O272" s="25" t="n"/>
    </row>
    <row r="273" ht="15.75" customHeight="1" s="102"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5" t="n"/>
      <c r="O273" s="25" t="n"/>
    </row>
    <row r="274" ht="15.75" customHeight="1" s="102"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5" t="n"/>
      <c r="O274" s="25" t="n"/>
    </row>
    <row r="275" ht="15.75" customHeight="1" s="102"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5" t="n"/>
      <c r="O275" s="25" t="n"/>
    </row>
    <row r="276" ht="15.75" customHeight="1" s="102"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5" t="n"/>
      <c r="O276" s="25" t="n"/>
    </row>
    <row r="277" ht="15.75" customHeight="1" s="102"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5" t="n"/>
      <c r="O277" s="25" t="n"/>
    </row>
    <row r="278" ht="15.75" customHeight="1" s="102"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5" t="n"/>
      <c r="O278" s="25" t="n"/>
    </row>
    <row r="279" ht="15.75" customHeight="1" s="102"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5" t="n"/>
      <c r="O279" s="25" t="n"/>
    </row>
    <row r="280" ht="15.75" customHeight="1" s="102"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5" t="n"/>
      <c r="O280" s="25" t="n"/>
    </row>
    <row r="281" ht="15.75" customHeight="1" s="102"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5" t="n"/>
      <c r="O281" s="25" t="n"/>
    </row>
    <row r="282" ht="15.75" customHeight="1" s="102"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5" t="n"/>
      <c r="O282" s="25" t="n"/>
    </row>
    <row r="283" ht="15.75" customHeight="1" s="102"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5" t="n"/>
      <c r="O283" s="25" t="n"/>
    </row>
    <row r="284" ht="15.75" customHeight="1" s="102"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5" t="n"/>
      <c r="O284" s="25" t="n"/>
    </row>
    <row r="285" ht="15.75" customHeight="1" s="102"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5" t="n"/>
      <c r="O285" s="25" t="n"/>
    </row>
    <row r="286" ht="15.75" customHeight="1" s="102"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5" t="n"/>
      <c r="O286" s="25" t="n"/>
    </row>
    <row r="287" ht="15.75" customHeight="1" s="102"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5" t="n"/>
      <c r="O287" s="25" t="n"/>
    </row>
    <row r="288" ht="15.75" customHeight="1" s="102"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5" t="n"/>
      <c r="O288" s="25" t="n"/>
    </row>
    <row r="289" ht="15.75" customHeight="1" s="102"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5" t="n"/>
      <c r="O289" s="25" t="n"/>
    </row>
    <row r="290" ht="15.75" customHeight="1" s="102"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5" t="n"/>
      <c r="O290" s="25" t="n"/>
    </row>
    <row r="291" ht="15.75" customHeight="1" s="102"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5" t="n"/>
      <c r="O291" s="25" t="n"/>
    </row>
    <row r="292" ht="15.75" customHeight="1" s="102"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5" t="n"/>
      <c r="O292" s="25" t="n"/>
    </row>
    <row r="293" ht="15.75" customHeight="1" s="102"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5" t="n"/>
      <c r="O293" s="25" t="n"/>
    </row>
    <row r="294" ht="15.75" customHeight="1" s="102"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5" t="n"/>
      <c r="O294" s="25" t="n"/>
    </row>
    <row r="295" ht="15.75" customHeight="1" s="102"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5" t="n"/>
      <c r="O295" s="25" t="n"/>
    </row>
    <row r="296" ht="15.75" customHeight="1" s="102"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5" t="n"/>
      <c r="O296" s="25" t="n"/>
    </row>
    <row r="297" ht="15.75" customHeight="1" s="102"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5" t="n"/>
      <c r="O297" s="25" t="n"/>
    </row>
    <row r="298" ht="15.75" customHeight="1" s="102"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5" t="n"/>
      <c r="O298" s="25" t="n"/>
    </row>
    <row r="299" ht="15.75" customHeight="1" s="102"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5" t="n"/>
      <c r="O299" s="25" t="n"/>
    </row>
    <row r="300" ht="15.75" customHeight="1" s="102"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5" t="n"/>
      <c r="O300" s="25" t="n"/>
    </row>
    <row r="301" ht="15.75" customHeight="1" s="102"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5" t="n"/>
      <c r="O301" s="25" t="n"/>
    </row>
    <row r="302" ht="15.75" customHeight="1" s="102"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5" t="n"/>
      <c r="O302" s="25" t="n"/>
    </row>
    <row r="303" ht="15.75" customHeight="1" s="102"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5" t="n"/>
      <c r="O303" s="25" t="n"/>
    </row>
    <row r="304" ht="15.75" customHeight="1" s="102"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5" t="n"/>
      <c r="O304" s="25" t="n"/>
    </row>
    <row r="305" ht="15.75" customHeight="1" s="102"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5" t="n"/>
      <c r="O305" s="25" t="n"/>
    </row>
    <row r="306" ht="15.75" customHeight="1" s="102"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5" t="n"/>
      <c r="O306" s="25" t="n"/>
    </row>
    <row r="307" ht="15.75" customHeight="1" s="102"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5" t="n"/>
      <c r="O307" s="25" t="n"/>
    </row>
    <row r="308" ht="15.75" customHeight="1" s="102"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5" t="n"/>
      <c r="O308" s="25" t="n"/>
    </row>
    <row r="309" ht="15.75" customHeight="1" s="102"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5" t="n"/>
      <c r="O309" s="25" t="n"/>
    </row>
    <row r="310" ht="15.75" customHeight="1" s="102"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5" t="n"/>
      <c r="O310" s="25" t="n"/>
    </row>
    <row r="311" ht="15.75" customHeight="1" s="102"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5" t="n"/>
      <c r="O311" s="25" t="n"/>
    </row>
    <row r="312" ht="15.75" customHeight="1" s="102"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5" t="n"/>
      <c r="O312" s="25" t="n"/>
    </row>
    <row r="313" ht="15.75" customHeight="1" s="102"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5" t="n"/>
      <c r="O313" s="25" t="n"/>
    </row>
    <row r="314" ht="15.75" customHeight="1" s="102"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5" t="n"/>
      <c r="O314" s="25" t="n"/>
    </row>
    <row r="315" ht="15.75" customHeight="1" s="102"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5" t="n"/>
      <c r="O315" s="25" t="n"/>
    </row>
    <row r="316" ht="15.75" customHeight="1" s="102"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5" t="n"/>
      <c r="O316" s="25" t="n"/>
    </row>
    <row r="317" ht="15.75" customHeight="1" s="102"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5" t="n"/>
      <c r="O317" s="25" t="n"/>
    </row>
    <row r="318" ht="15.75" customHeight="1" s="102"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5" t="n"/>
      <c r="O318" s="25" t="n"/>
    </row>
    <row r="319" ht="15.75" customHeight="1" s="102"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5" t="n"/>
      <c r="O319" s="25" t="n"/>
    </row>
    <row r="320" ht="15.75" customHeight="1" s="102"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5" t="n"/>
      <c r="O320" s="25" t="n"/>
    </row>
    <row r="321" ht="15.75" customHeight="1" s="102"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5" t="n"/>
      <c r="O321" s="25" t="n"/>
    </row>
    <row r="322" ht="15.75" customHeight="1" s="102"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5" t="n"/>
      <c r="O322" s="25" t="n"/>
    </row>
    <row r="323" ht="15.75" customHeight="1" s="102"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5" t="n"/>
      <c r="O323" s="25" t="n"/>
    </row>
    <row r="324" ht="15.75" customHeight="1" s="102"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5" t="n"/>
      <c r="O324" s="25" t="n"/>
    </row>
    <row r="325" ht="15.75" customHeight="1" s="102"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5" t="n"/>
      <c r="O325" s="25" t="n"/>
    </row>
    <row r="326" ht="15.75" customHeight="1" s="102"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5" t="n"/>
      <c r="O326" s="25" t="n"/>
    </row>
    <row r="327" ht="15.75" customHeight="1" s="102"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5" t="n"/>
      <c r="O327" s="25" t="n"/>
    </row>
    <row r="328" ht="15.75" customHeight="1" s="102"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5" t="n"/>
      <c r="O328" s="25" t="n"/>
    </row>
    <row r="329" ht="15.75" customHeight="1" s="102"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5" t="n"/>
      <c r="O329" s="25" t="n"/>
    </row>
    <row r="330" ht="15.75" customHeight="1" s="102"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5" t="n"/>
      <c r="O330" s="25" t="n"/>
    </row>
    <row r="331" ht="15.75" customHeight="1" s="102"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5" t="n"/>
      <c r="O331" s="25" t="n"/>
    </row>
    <row r="332" ht="15.75" customHeight="1" s="102"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5" t="n"/>
      <c r="O332" s="25" t="n"/>
    </row>
    <row r="333" ht="15.75" customHeight="1" s="102"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5" t="n"/>
      <c r="O333" s="25" t="n"/>
    </row>
    <row r="334" ht="15.75" customHeight="1" s="102"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5" t="n"/>
      <c r="O334" s="25" t="n"/>
    </row>
    <row r="335" ht="15.75" customHeight="1" s="102"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5" t="n"/>
      <c r="O335" s="25" t="n"/>
    </row>
    <row r="336" ht="15.75" customHeight="1" s="102"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5" t="n"/>
      <c r="O336" s="25" t="n"/>
    </row>
    <row r="337" ht="15.75" customHeight="1" s="102"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5" t="n"/>
      <c r="O337" s="25" t="n"/>
    </row>
    <row r="338" ht="15.75" customHeight="1" s="102"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5" t="n"/>
      <c r="O338" s="25" t="n"/>
    </row>
    <row r="339" ht="15.75" customHeight="1" s="102"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5" t="n"/>
      <c r="O339" s="25" t="n"/>
    </row>
    <row r="340" ht="15.75" customHeight="1" s="102"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5" t="n"/>
      <c r="O340" s="25" t="n"/>
    </row>
    <row r="341" ht="15.75" customHeight="1" s="102"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5" t="n"/>
      <c r="O341" s="25" t="n"/>
    </row>
    <row r="342" ht="15.75" customHeight="1" s="102"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5" t="n"/>
      <c r="O342" s="25" t="n"/>
    </row>
    <row r="343" ht="15.75" customHeight="1" s="102"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5" t="n"/>
      <c r="O343" s="25" t="n"/>
    </row>
    <row r="344" ht="15.75" customHeight="1" s="102"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5" t="n"/>
      <c r="O344" s="25" t="n"/>
    </row>
    <row r="345" ht="15.75" customHeight="1" s="102"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5" t="n"/>
      <c r="O345" s="25" t="n"/>
    </row>
    <row r="346" ht="15.75" customHeight="1" s="102"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5" t="n"/>
      <c r="O346" s="25" t="n"/>
    </row>
    <row r="347" ht="15.75" customHeight="1" s="102"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5" t="n"/>
      <c r="O347" s="25" t="n"/>
    </row>
    <row r="348" ht="15.75" customHeight="1" s="102"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5" t="n"/>
      <c r="O348" s="25" t="n"/>
    </row>
    <row r="349" ht="15.75" customHeight="1" s="102"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5" t="n"/>
      <c r="O349" s="25" t="n"/>
    </row>
    <row r="350" ht="15.75" customHeight="1" s="102"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5" t="n"/>
      <c r="O350" s="25" t="n"/>
    </row>
    <row r="351" ht="15.75" customHeight="1" s="102"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5" t="n"/>
      <c r="O351" s="25" t="n"/>
    </row>
    <row r="352" ht="15.75" customHeight="1" s="102"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5" t="n"/>
      <c r="O352" s="25" t="n"/>
    </row>
    <row r="353" ht="15.75" customHeight="1" s="102"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5" t="n"/>
      <c r="O353" s="25" t="n"/>
    </row>
    <row r="354" ht="15.75" customHeight="1" s="102"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5" t="n"/>
      <c r="O354" s="25" t="n"/>
    </row>
    <row r="355" ht="15.75" customHeight="1" s="102"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5" t="n"/>
      <c r="O355" s="25" t="n"/>
    </row>
    <row r="356" ht="15.75" customHeight="1" s="102"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5" t="n"/>
      <c r="O356" s="25" t="n"/>
    </row>
    <row r="357" ht="15.75" customHeight="1" s="102"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5" t="n"/>
      <c r="O357" s="25" t="n"/>
    </row>
    <row r="358" ht="15.75" customHeight="1" s="102"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5" t="n"/>
      <c r="O358" s="25" t="n"/>
    </row>
    <row r="359" ht="15.75" customHeight="1" s="102"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5" t="n"/>
      <c r="O359" s="25" t="n"/>
    </row>
    <row r="360" ht="15.75" customHeight="1" s="102"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5" t="n"/>
      <c r="O360" s="25" t="n"/>
    </row>
    <row r="361" ht="15.75" customHeight="1" s="102"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5" t="n"/>
      <c r="O361" s="25" t="n"/>
    </row>
    <row r="362" ht="15.75" customHeight="1" s="102"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5" t="n"/>
      <c r="O362" s="25" t="n"/>
    </row>
    <row r="363" ht="15.75" customHeight="1" s="102"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5" t="n"/>
      <c r="O363" s="25" t="n"/>
    </row>
    <row r="364" ht="15.75" customHeight="1" s="102"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5" t="n"/>
      <c r="O364" s="25" t="n"/>
    </row>
    <row r="365" ht="15.75" customHeight="1" s="102"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5" t="n"/>
      <c r="O365" s="25" t="n"/>
    </row>
    <row r="366" ht="15.75" customHeight="1" s="102"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5" t="n"/>
      <c r="O366" s="25" t="n"/>
    </row>
    <row r="367" ht="15.75" customHeight="1" s="102"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5" t="n"/>
      <c r="O367" s="25" t="n"/>
    </row>
    <row r="368" ht="15.75" customHeight="1" s="102"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5" t="n"/>
      <c r="O368" s="25" t="n"/>
    </row>
    <row r="369" ht="15.75" customHeight="1" s="102"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5" t="n"/>
      <c r="O369" s="25" t="n"/>
    </row>
    <row r="370" ht="15.75" customHeight="1" s="102"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5" t="n"/>
      <c r="O370" s="25" t="n"/>
    </row>
    <row r="371" ht="15.75" customHeight="1" s="102"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5" t="n"/>
      <c r="O371" s="25" t="n"/>
    </row>
    <row r="372" ht="15.75" customHeight="1" s="102"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5" t="n"/>
      <c r="O372" s="25" t="n"/>
    </row>
    <row r="373" ht="15.75" customHeight="1" s="102"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5" t="n"/>
      <c r="O373" s="25" t="n"/>
    </row>
    <row r="374" ht="15.75" customHeight="1" s="102"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5" t="n"/>
      <c r="O374" s="25" t="n"/>
    </row>
    <row r="375" ht="15.75" customHeight="1" s="102"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5" t="n"/>
      <c r="O375" s="25" t="n"/>
    </row>
    <row r="376" ht="15.75" customHeight="1" s="102"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5" t="n"/>
      <c r="O376" s="25" t="n"/>
    </row>
    <row r="377" ht="15.75" customHeight="1" s="102"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5" t="n"/>
      <c r="O377" s="25" t="n"/>
    </row>
    <row r="378" ht="15.75" customHeight="1" s="102"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5" t="n"/>
      <c r="O378" s="25" t="n"/>
    </row>
    <row r="379" ht="15.75" customHeight="1" s="102"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5" t="n"/>
      <c r="O379" s="25" t="n"/>
    </row>
    <row r="380" ht="15.75" customHeight="1" s="102"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5" t="n"/>
      <c r="O380" s="25" t="n"/>
    </row>
    <row r="381" ht="15.75" customHeight="1" s="102"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5" t="n"/>
      <c r="O381" s="25" t="n"/>
    </row>
    <row r="382" ht="15.75" customHeight="1" s="102"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5" t="n"/>
      <c r="O382" s="25" t="n"/>
    </row>
    <row r="383" ht="15.75" customHeight="1" s="102"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5" t="n"/>
      <c r="O383" s="25" t="n"/>
    </row>
    <row r="384" ht="15.75" customHeight="1" s="102"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5" t="n"/>
      <c r="O384" s="25" t="n"/>
    </row>
    <row r="385" ht="15.75" customHeight="1" s="102"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5" t="n"/>
      <c r="O385" s="25" t="n"/>
    </row>
    <row r="386" ht="15.75" customHeight="1" s="102"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5" t="n"/>
      <c r="O386" s="25" t="n"/>
    </row>
    <row r="387" ht="15.75" customHeight="1" s="102"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5" t="n"/>
      <c r="O387" s="25" t="n"/>
    </row>
    <row r="388" ht="15.75" customHeight="1" s="102"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5" t="n"/>
      <c r="O388" s="25" t="n"/>
    </row>
    <row r="389" ht="15.75" customHeight="1" s="102"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5" t="n"/>
      <c r="O389" s="25" t="n"/>
    </row>
    <row r="390" ht="15.75" customHeight="1" s="102"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5" t="n"/>
      <c r="O390" s="25" t="n"/>
    </row>
    <row r="391" ht="15.75" customHeight="1" s="102"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5" t="n"/>
      <c r="O391" s="25" t="n"/>
    </row>
    <row r="392" ht="15.75" customHeight="1" s="102"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5" t="n"/>
      <c r="O392" s="25" t="n"/>
    </row>
    <row r="393" ht="15.75" customHeight="1" s="102"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5" t="n"/>
      <c r="O393" s="25" t="n"/>
    </row>
    <row r="394" ht="15.75" customHeight="1" s="102"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5" t="n"/>
      <c r="O394" s="25" t="n"/>
    </row>
    <row r="395" ht="15.75" customHeight="1" s="102"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5" t="n"/>
      <c r="O395" s="25" t="n"/>
    </row>
    <row r="396" ht="15.75" customHeight="1" s="102"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5" t="n"/>
      <c r="O396" s="25" t="n"/>
    </row>
    <row r="397" ht="15.75" customHeight="1" s="102"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5" t="n"/>
      <c r="O397" s="25" t="n"/>
    </row>
    <row r="398" ht="15.75" customHeight="1" s="102"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5" t="n"/>
      <c r="O398" s="25" t="n"/>
    </row>
    <row r="399" ht="15.75" customHeight="1" s="102"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5" t="n"/>
      <c r="O399" s="25" t="n"/>
    </row>
    <row r="400" ht="15.75" customHeight="1" s="102"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5" t="n"/>
      <c r="O400" s="25" t="n"/>
    </row>
    <row r="401" ht="15.75" customHeight="1" s="102"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5" t="n"/>
      <c r="O401" s="25" t="n"/>
    </row>
    <row r="402" ht="15.75" customHeight="1" s="102"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5" t="n"/>
      <c r="O402" s="25" t="n"/>
    </row>
    <row r="403" ht="15.75" customHeight="1" s="102"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5" t="n"/>
      <c r="O403" s="25" t="n"/>
    </row>
    <row r="404" ht="15.75" customHeight="1" s="102"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5" t="n"/>
      <c r="O404" s="25" t="n"/>
    </row>
    <row r="405" ht="15.75" customHeight="1" s="102"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5" t="n"/>
      <c r="O405" s="25" t="n"/>
    </row>
    <row r="406" ht="15.75" customHeight="1" s="102"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5" t="n"/>
      <c r="O406" s="25" t="n"/>
    </row>
    <row r="407" ht="15.75" customHeight="1" s="102"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5" t="n"/>
      <c r="O407" s="25" t="n"/>
    </row>
    <row r="408" ht="15.75" customHeight="1" s="102"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5" t="n"/>
      <c r="O408" s="25" t="n"/>
    </row>
    <row r="409" ht="15.75" customHeight="1" s="102"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5" t="n"/>
      <c r="O409" s="25" t="n"/>
    </row>
    <row r="410" ht="15.75" customHeight="1" s="102"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5" t="n"/>
      <c r="O410" s="25" t="n"/>
    </row>
    <row r="411" ht="15.75" customHeight="1" s="102"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5" t="n"/>
      <c r="O411" s="25" t="n"/>
    </row>
    <row r="412" ht="15.75" customHeight="1" s="102"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5" t="n"/>
      <c r="O412" s="25" t="n"/>
    </row>
    <row r="413" ht="15.75" customHeight="1" s="102"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5" t="n"/>
      <c r="O413" s="25" t="n"/>
    </row>
    <row r="414" ht="15.75" customHeight="1" s="102"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5" t="n"/>
      <c r="O414" s="25" t="n"/>
    </row>
    <row r="415" ht="15.75" customHeight="1" s="102"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5" t="n"/>
      <c r="O415" s="25" t="n"/>
    </row>
    <row r="416" ht="15.75" customHeight="1" s="102"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5" t="n"/>
      <c r="O416" s="25" t="n"/>
    </row>
    <row r="417" ht="15.75" customHeight="1" s="102"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5" t="n"/>
      <c r="O417" s="25" t="n"/>
    </row>
    <row r="418" ht="15.75" customHeight="1" s="102"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5" t="n"/>
      <c r="O418" s="25" t="n"/>
    </row>
    <row r="419" ht="15.75" customHeight="1" s="102"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5" t="n"/>
      <c r="O419" s="25" t="n"/>
    </row>
    <row r="420" ht="15.75" customHeight="1" s="102"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5" t="n"/>
      <c r="O420" s="25" t="n"/>
    </row>
    <row r="421" ht="15.75" customHeight="1" s="102"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5" t="n"/>
      <c r="O421" s="25" t="n"/>
    </row>
    <row r="422" ht="15.75" customHeight="1" s="102"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5" t="n"/>
      <c r="O422" s="25" t="n"/>
    </row>
    <row r="423" ht="15.75" customHeight="1" s="102"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5" t="n"/>
      <c r="O423" s="25" t="n"/>
    </row>
    <row r="424" ht="15.75" customHeight="1" s="102"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5" t="n"/>
      <c r="O424" s="25" t="n"/>
    </row>
    <row r="425" ht="15.75" customHeight="1" s="102"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5" t="n"/>
      <c r="O425" s="25" t="n"/>
    </row>
    <row r="426" ht="15.75" customHeight="1" s="102"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5" t="n"/>
      <c r="O426" s="25" t="n"/>
    </row>
    <row r="427" ht="15.75" customHeight="1" s="102"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5" t="n"/>
      <c r="O427" s="25" t="n"/>
    </row>
    <row r="428" ht="15.75" customHeight="1" s="102"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5" t="n"/>
      <c r="O428" s="25" t="n"/>
    </row>
    <row r="429" ht="15.75" customHeight="1" s="102"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5" t="n"/>
      <c r="O429" s="25" t="n"/>
    </row>
    <row r="430" ht="15.75" customHeight="1" s="102"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5" t="n"/>
      <c r="O430" s="25" t="n"/>
    </row>
    <row r="431" ht="15.75" customHeight="1" s="102"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5" t="n"/>
      <c r="O431" s="25" t="n"/>
    </row>
    <row r="432" ht="15.75" customHeight="1" s="102"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5" t="n"/>
      <c r="O432" s="25" t="n"/>
    </row>
    <row r="433" ht="15.75" customHeight="1" s="102"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5" t="n"/>
      <c r="O433" s="25" t="n"/>
    </row>
    <row r="434" ht="15.75" customHeight="1" s="102"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5" t="n"/>
      <c r="O434" s="25" t="n"/>
    </row>
    <row r="435" ht="15.75" customHeight="1" s="102"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5" t="n"/>
      <c r="O435" s="25" t="n"/>
    </row>
    <row r="436" ht="15.75" customHeight="1" s="102"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5" t="n"/>
      <c r="O436" s="25" t="n"/>
    </row>
    <row r="437" ht="15.75" customHeight="1" s="102"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5" t="n"/>
      <c r="O437" s="25" t="n"/>
    </row>
    <row r="438" ht="15.75" customHeight="1" s="102"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5" t="n"/>
      <c r="O438" s="25" t="n"/>
    </row>
    <row r="439" ht="15.75" customHeight="1" s="102"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5" t="n"/>
      <c r="O439" s="25" t="n"/>
    </row>
    <row r="440" ht="15.75" customHeight="1" s="102"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5" t="n"/>
      <c r="O440" s="25" t="n"/>
    </row>
    <row r="441" ht="15.75" customHeight="1" s="102"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5" t="n"/>
      <c r="O441" s="25" t="n"/>
    </row>
    <row r="442" ht="15.75" customHeight="1" s="102"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5" t="n"/>
      <c r="O442" s="25" t="n"/>
    </row>
    <row r="443" ht="15.75" customHeight="1" s="102"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5" t="n"/>
      <c r="O443" s="25" t="n"/>
    </row>
    <row r="444" ht="15.75" customHeight="1" s="102"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5" t="n"/>
      <c r="O444" s="25" t="n"/>
    </row>
    <row r="445" ht="15.75" customHeight="1" s="102"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5" t="n"/>
      <c r="O445" s="25" t="n"/>
    </row>
    <row r="446" ht="15.75" customHeight="1" s="102"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5" t="n"/>
      <c r="O446" s="25" t="n"/>
    </row>
    <row r="447" ht="15.75" customHeight="1" s="102"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5" t="n"/>
      <c r="O447" s="25" t="n"/>
    </row>
    <row r="448" ht="15.75" customHeight="1" s="102"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5" t="n"/>
      <c r="O448" s="25" t="n"/>
    </row>
    <row r="449" ht="15.75" customHeight="1" s="102"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5" t="n"/>
      <c r="O449" s="25" t="n"/>
    </row>
    <row r="450" ht="15.75" customHeight="1" s="102"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5" t="n"/>
      <c r="O450" s="25" t="n"/>
    </row>
    <row r="451" ht="15.75" customHeight="1" s="102"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5" t="n"/>
      <c r="O451" s="25" t="n"/>
    </row>
    <row r="452" ht="15.75" customHeight="1" s="102"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5" t="n"/>
      <c r="O452" s="25" t="n"/>
    </row>
    <row r="453" ht="15.75" customHeight="1" s="102"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5" t="n"/>
      <c r="O453" s="25" t="n"/>
    </row>
    <row r="454" ht="15.75" customHeight="1" s="102"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5" t="n"/>
      <c r="O454" s="25" t="n"/>
    </row>
    <row r="455" ht="15.75" customHeight="1" s="102"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5" t="n"/>
      <c r="O455" s="25" t="n"/>
    </row>
    <row r="456" ht="15.75" customHeight="1" s="102"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5" t="n"/>
      <c r="O456" s="25" t="n"/>
    </row>
    <row r="457" ht="15.75" customHeight="1" s="102"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5" t="n"/>
      <c r="O457" s="25" t="n"/>
    </row>
    <row r="458" ht="15.75" customHeight="1" s="102"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5" t="n"/>
      <c r="O458" s="25" t="n"/>
    </row>
    <row r="459" ht="15.75" customHeight="1" s="102"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5" t="n"/>
      <c r="O459" s="25" t="n"/>
    </row>
    <row r="460" ht="15.75" customHeight="1" s="102"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5" t="n"/>
      <c r="O460" s="25" t="n"/>
    </row>
    <row r="461" ht="15.75" customHeight="1" s="102"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5" t="n"/>
      <c r="O461" s="25" t="n"/>
    </row>
    <row r="462" ht="15.75" customHeight="1" s="102"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5" t="n"/>
      <c r="O462" s="25" t="n"/>
    </row>
    <row r="463" ht="15.75" customHeight="1" s="102"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5" t="n"/>
      <c r="O463" s="25" t="n"/>
    </row>
    <row r="464" ht="15.75" customHeight="1" s="102"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5" t="n"/>
      <c r="O464" s="25" t="n"/>
    </row>
    <row r="465" ht="15.75" customHeight="1" s="102"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5" t="n"/>
      <c r="O465" s="25" t="n"/>
    </row>
    <row r="466" ht="15.75" customHeight="1" s="102"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5" t="n"/>
      <c r="O466" s="25" t="n"/>
    </row>
    <row r="467" ht="15.75" customHeight="1" s="102"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5" t="n"/>
      <c r="O467" s="25" t="n"/>
    </row>
    <row r="468" ht="15.75" customHeight="1" s="102"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5" t="n"/>
      <c r="O468" s="25" t="n"/>
    </row>
    <row r="469" ht="15.75" customHeight="1" s="102"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5" t="n"/>
      <c r="O469" s="25" t="n"/>
    </row>
    <row r="470" ht="15.75" customHeight="1" s="102"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5" t="n"/>
      <c r="O470" s="25" t="n"/>
    </row>
    <row r="471" ht="15.75" customHeight="1" s="102"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5" t="n"/>
      <c r="O471" s="25" t="n"/>
    </row>
    <row r="472" ht="15.75" customHeight="1" s="102"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5" t="n"/>
      <c r="O472" s="25" t="n"/>
    </row>
    <row r="473" ht="15.75" customHeight="1" s="102"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5" t="n"/>
      <c r="O473" s="25" t="n"/>
    </row>
    <row r="474" ht="15.75" customHeight="1" s="102"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5" t="n"/>
      <c r="O474" s="25" t="n"/>
    </row>
    <row r="475" ht="15.75" customHeight="1" s="102"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5" t="n"/>
      <c r="O475" s="25" t="n"/>
    </row>
    <row r="476" ht="15.75" customHeight="1" s="102"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5" t="n"/>
      <c r="O476" s="25" t="n"/>
    </row>
    <row r="477" ht="15.75" customHeight="1" s="102"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5" t="n"/>
      <c r="O477" s="25" t="n"/>
    </row>
    <row r="478" ht="15.75" customHeight="1" s="102"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5" t="n"/>
      <c r="O478" s="25" t="n"/>
    </row>
    <row r="479" ht="15.75" customHeight="1" s="102"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5" t="n"/>
      <c r="O479" s="25" t="n"/>
    </row>
    <row r="480" ht="15.75" customHeight="1" s="102"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5" t="n"/>
      <c r="O480" s="25" t="n"/>
    </row>
    <row r="481" ht="15.75" customHeight="1" s="102"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5" t="n"/>
      <c r="O481" s="25" t="n"/>
    </row>
    <row r="482" ht="15.75" customHeight="1" s="102"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5" t="n"/>
      <c r="O482" s="25" t="n"/>
    </row>
    <row r="483" ht="15.75" customHeight="1" s="102"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5" t="n"/>
      <c r="O483" s="25" t="n"/>
    </row>
    <row r="484" ht="15.75" customHeight="1" s="102"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5" t="n"/>
      <c r="O484" s="25" t="n"/>
    </row>
    <row r="485" ht="15.75" customHeight="1" s="102"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5" t="n"/>
      <c r="O485" s="25" t="n"/>
    </row>
    <row r="486" ht="15.75" customHeight="1" s="102"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5" t="n"/>
      <c r="O486" s="25" t="n"/>
    </row>
    <row r="487" ht="15.75" customHeight="1" s="102"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5" t="n"/>
      <c r="O487" s="25" t="n"/>
    </row>
    <row r="488" ht="15.75" customHeight="1" s="102"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5" t="n"/>
      <c r="O488" s="25" t="n"/>
    </row>
    <row r="489" ht="15.75" customHeight="1" s="102"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5" t="n"/>
      <c r="O489" s="25" t="n"/>
    </row>
    <row r="490" ht="15.75" customHeight="1" s="102"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5" t="n"/>
      <c r="O490" s="25" t="n"/>
    </row>
    <row r="491" ht="15.75" customHeight="1" s="102"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5" t="n"/>
      <c r="O491" s="25" t="n"/>
    </row>
    <row r="492" ht="15.75" customHeight="1" s="102"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5" t="n"/>
      <c r="O492" s="25" t="n"/>
    </row>
    <row r="493" ht="15.75" customHeight="1" s="102"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5" t="n"/>
      <c r="O493" s="25" t="n"/>
    </row>
    <row r="494" ht="15.75" customHeight="1" s="102"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5" t="n"/>
      <c r="O494" s="25" t="n"/>
    </row>
    <row r="495" ht="15.75" customHeight="1" s="102"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5" t="n"/>
      <c r="O495" s="25" t="n"/>
    </row>
    <row r="496" ht="15.75" customHeight="1" s="102"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5" t="n"/>
      <c r="O496" s="25" t="n"/>
    </row>
    <row r="497" ht="15.75" customHeight="1" s="102"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5" t="n"/>
      <c r="O497" s="25" t="n"/>
    </row>
    <row r="498" ht="15.75" customHeight="1" s="102"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5" t="n"/>
      <c r="O498" s="25" t="n"/>
    </row>
    <row r="499" ht="15.75" customHeight="1" s="102"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5" t="n"/>
      <c r="O499" s="25" t="n"/>
    </row>
    <row r="500" ht="15.75" customHeight="1" s="102"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5" t="n"/>
      <c r="O500" s="25" t="n"/>
    </row>
    <row r="501" ht="15.75" customHeight="1" s="102"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5" t="n"/>
      <c r="O501" s="25" t="n"/>
    </row>
    <row r="502" ht="15.75" customHeight="1" s="102"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5" t="n"/>
      <c r="O502" s="25" t="n"/>
    </row>
    <row r="503" ht="15.75" customHeight="1" s="102"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5" t="n"/>
      <c r="O503" s="25" t="n"/>
    </row>
    <row r="504" ht="15.75" customHeight="1" s="102"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5" t="n"/>
      <c r="O504" s="25" t="n"/>
    </row>
    <row r="505" ht="15.75" customHeight="1" s="102"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5" t="n"/>
      <c r="O505" s="25" t="n"/>
    </row>
    <row r="506" ht="15.75" customHeight="1" s="102"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5" t="n"/>
      <c r="O506" s="25" t="n"/>
    </row>
    <row r="507" ht="15.75" customHeight="1" s="102"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5" t="n"/>
      <c r="O507" s="25" t="n"/>
    </row>
    <row r="508" ht="15.75" customHeight="1" s="102"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5" t="n"/>
      <c r="O508" s="25" t="n"/>
    </row>
    <row r="509" ht="15.75" customHeight="1" s="102"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5" t="n"/>
      <c r="O509" s="25" t="n"/>
    </row>
    <row r="510" ht="15.75" customHeight="1" s="102"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5" t="n"/>
      <c r="O510" s="25" t="n"/>
    </row>
    <row r="511" ht="15.75" customHeight="1" s="102"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5" t="n"/>
      <c r="O511" s="25" t="n"/>
    </row>
    <row r="512" ht="15.75" customHeight="1" s="102"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5" t="n"/>
      <c r="O512" s="25" t="n"/>
    </row>
    <row r="513" ht="15.75" customHeight="1" s="102"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5" t="n"/>
      <c r="O513" s="25" t="n"/>
    </row>
    <row r="514" ht="15.75" customHeight="1" s="102"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5" t="n"/>
      <c r="O514" s="25" t="n"/>
    </row>
    <row r="515" ht="15.75" customHeight="1" s="102"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5" t="n"/>
      <c r="O515" s="25" t="n"/>
    </row>
    <row r="516" ht="15.75" customHeight="1" s="102"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5" t="n"/>
      <c r="O516" s="25" t="n"/>
    </row>
    <row r="517" ht="15.75" customHeight="1" s="102"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5" t="n"/>
      <c r="O517" s="25" t="n"/>
    </row>
    <row r="518" ht="15.75" customHeight="1" s="102"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5" t="n"/>
      <c r="O518" s="25" t="n"/>
    </row>
    <row r="519" ht="15.75" customHeight="1" s="102"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5" t="n"/>
      <c r="O519" s="25" t="n"/>
    </row>
    <row r="520" ht="15.75" customHeight="1" s="102"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5" t="n"/>
      <c r="O520" s="25" t="n"/>
    </row>
    <row r="521" ht="15.75" customHeight="1" s="102"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5" t="n"/>
      <c r="O521" s="25" t="n"/>
    </row>
    <row r="522" ht="15.75" customHeight="1" s="102"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5" t="n"/>
      <c r="O522" s="25" t="n"/>
    </row>
    <row r="523" ht="15.75" customHeight="1" s="102"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5" t="n"/>
      <c r="O523" s="25" t="n"/>
    </row>
    <row r="524" ht="15.75" customHeight="1" s="102"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5" t="n"/>
      <c r="O524" s="25" t="n"/>
    </row>
    <row r="525" ht="15.75" customHeight="1" s="102"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5" t="n"/>
      <c r="O525" s="25" t="n"/>
    </row>
    <row r="526" ht="15.75" customHeight="1" s="102"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5" t="n"/>
      <c r="O526" s="25" t="n"/>
    </row>
    <row r="527" ht="15.75" customHeight="1" s="102"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5" t="n"/>
      <c r="O527" s="25" t="n"/>
    </row>
    <row r="528" ht="15.75" customHeight="1" s="102"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5" t="n"/>
      <c r="O528" s="25" t="n"/>
    </row>
    <row r="529" ht="15.75" customHeight="1" s="102"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5" t="n"/>
      <c r="O529" s="25" t="n"/>
    </row>
    <row r="530" ht="15.75" customHeight="1" s="102"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5" t="n"/>
      <c r="O530" s="25" t="n"/>
    </row>
    <row r="531" ht="15.75" customHeight="1" s="102"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5" t="n"/>
      <c r="O531" s="25" t="n"/>
    </row>
    <row r="532" ht="15.75" customHeight="1" s="102"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5" t="n"/>
      <c r="O532" s="25" t="n"/>
    </row>
    <row r="533" ht="15.75" customHeight="1" s="102"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5" t="n"/>
      <c r="O533" s="25" t="n"/>
    </row>
    <row r="534" ht="15.75" customHeight="1" s="102"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5" t="n"/>
      <c r="O534" s="25" t="n"/>
    </row>
    <row r="535" ht="15.75" customHeight="1" s="102"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5" t="n"/>
      <c r="O535" s="25" t="n"/>
    </row>
    <row r="536" ht="15.75" customHeight="1" s="102"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5" t="n"/>
      <c r="O536" s="25" t="n"/>
    </row>
    <row r="537" ht="15.75" customHeight="1" s="102"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5" t="n"/>
      <c r="O537" s="25" t="n"/>
    </row>
    <row r="538" ht="15.75" customHeight="1" s="102"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5" t="n"/>
      <c r="O538" s="25" t="n"/>
    </row>
    <row r="539" ht="15.75" customHeight="1" s="102"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5" t="n"/>
      <c r="O539" s="25" t="n"/>
    </row>
    <row r="540" ht="15.75" customHeight="1" s="102"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5" t="n"/>
      <c r="O540" s="25" t="n"/>
    </row>
    <row r="541" ht="15.75" customHeight="1" s="102"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5" t="n"/>
      <c r="O541" s="25" t="n"/>
    </row>
    <row r="542" ht="15.75" customHeight="1" s="102"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5" t="n"/>
      <c r="O542" s="25" t="n"/>
    </row>
    <row r="543" ht="15.75" customHeight="1" s="102"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5" t="n"/>
      <c r="O543" s="25" t="n"/>
    </row>
    <row r="544" ht="15.75" customHeight="1" s="102"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5" t="n"/>
      <c r="O544" s="25" t="n"/>
    </row>
    <row r="545" ht="15.75" customHeight="1" s="102"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5" t="n"/>
      <c r="O545" s="25" t="n"/>
    </row>
    <row r="546" ht="15.75" customHeight="1" s="102"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5" t="n"/>
      <c r="O546" s="25" t="n"/>
    </row>
    <row r="547" ht="15.75" customHeight="1" s="102"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5" t="n"/>
      <c r="O547" s="25" t="n"/>
    </row>
    <row r="548" ht="15.75" customHeight="1" s="102"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5" t="n"/>
      <c r="O548" s="25" t="n"/>
    </row>
    <row r="549" ht="15.75" customHeight="1" s="102"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5" t="n"/>
      <c r="O549" s="25" t="n"/>
    </row>
    <row r="550" ht="15.75" customHeight="1" s="102"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5" t="n"/>
      <c r="O550" s="25" t="n"/>
    </row>
    <row r="551" ht="15.75" customHeight="1" s="102"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5" t="n"/>
      <c r="O551" s="25" t="n"/>
    </row>
    <row r="552" ht="15.75" customHeight="1" s="102"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5" t="n"/>
      <c r="O552" s="25" t="n"/>
    </row>
    <row r="553" ht="15.75" customHeight="1" s="102"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5" t="n"/>
      <c r="O553" s="25" t="n"/>
    </row>
    <row r="554" ht="15.75" customHeight="1" s="102"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5" t="n"/>
      <c r="O554" s="25" t="n"/>
    </row>
    <row r="555" ht="15.75" customHeight="1" s="102"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5" t="n"/>
      <c r="O555" s="25" t="n"/>
    </row>
    <row r="556" ht="15.75" customHeight="1" s="102"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5" t="n"/>
      <c r="O556" s="25" t="n"/>
    </row>
    <row r="557" ht="15.75" customHeight="1" s="102"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5" t="n"/>
      <c r="O557" s="25" t="n"/>
    </row>
    <row r="558" ht="15.75" customHeight="1" s="102"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5" t="n"/>
      <c r="O558" s="25" t="n"/>
    </row>
    <row r="559" ht="15.75" customHeight="1" s="102"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5" t="n"/>
      <c r="O559" s="25" t="n"/>
    </row>
    <row r="560" ht="15.75" customHeight="1" s="102"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5" t="n"/>
      <c r="O560" s="25" t="n"/>
    </row>
    <row r="561" ht="15.75" customHeight="1" s="102"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5" t="n"/>
      <c r="O561" s="25" t="n"/>
    </row>
    <row r="562" ht="15.75" customHeight="1" s="102"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5" t="n"/>
      <c r="O562" s="25" t="n"/>
    </row>
    <row r="563" ht="15.75" customHeight="1" s="102"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5" t="n"/>
      <c r="O563" s="25" t="n"/>
    </row>
    <row r="564" ht="15.75" customHeight="1" s="102"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5" t="n"/>
      <c r="O564" s="25" t="n"/>
    </row>
    <row r="565" ht="15.75" customHeight="1" s="102"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5" t="n"/>
      <c r="O565" s="25" t="n"/>
    </row>
    <row r="566" ht="15.75" customHeight="1" s="102"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5" t="n"/>
      <c r="O566" s="25" t="n"/>
    </row>
    <row r="567" ht="15.75" customHeight="1" s="102"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5" t="n"/>
      <c r="O567" s="25" t="n"/>
    </row>
    <row r="568" ht="15.75" customHeight="1" s="102"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5" t="n"/>
      <c r="O568" s="25" t="n"/>
    </row>
    <row r="569" ht="15.75" customHeight="1" s="102"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5" t="n"/>
      <c r="O569" s="25" t="n"/>
    </row>
    <row r="570" ht="15.75" customHeight="1" s="102"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5" t="n"/>
      <c r="O570" s="25" t="n"/>
    </row>
    <row r="571" ht="15.75" customHeight="1" s="102"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5" t="n"/>
      <c r="O571" s="25" t="n"/>
    </row>
    <row r="572" ht="15.75" customHeight="1" s="102"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5" t="n"/>
      <c r="O572" s="25" t="n"/>
    </row>
    <row r="573" ht="15.75" customHeight="1" s="102"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5" t="n"/>
      <c r="O573" s="25" t="n"/>
    </row>
    <row r="574" ht="15.75" customHeight="1" s="102"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5" t="n"/>
      <c r="O574" s="25" t="n"/>
    </row>
    <row r="575" ht="15.75" customHeight="1" s="102"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5" t="n"/>
      <c r="O575" s="25" t="n"/>
    </row>
    <row r="576" ht="15.75" customHeight="1" s="102"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5" t="n"/>
      <c r="O576" s="25" t="n"/>
    </row>
    <row r="577" ht="15.75" customHeight="1" s="102"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5" t="n"/>
      <c r="O577" s="25" t="n"/>
    </row>
    <row r="578" ht="15.75" customHeight="1" s="102"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5" t="n"/>
      <c r="O578" s="25" t="n"/>
    </row>
    <row r="579" ht="15.75" customHeight="1" s="102"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5" t="n"/>
      <c r="O579" s="25" t="n"/>
    </row>
    <row r="580" ht="15.75" customHeight="1" s="102"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5" t="n"/>
      <c r="O580" s="25" t="n"/>
    </row>
    <row r="581" ht="15.75" customHeight="1" s="102"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5" t="n"/>
      <c r="O581" s="25" t="n"/>
    </row>
    <row r="582" ht="15.75" customHeight="1" s="102"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5" t="n"/>
      <c r="O582" s="25" t="n"/>
    </row>
    <row r="583" ht="15.75" customHeight="1" s="102"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5" t="n"/>
      <c r="O583" s="25" t="n"/>
    </row>
    <row r="584" ht="15.75" customHeight="1" s="102"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5" t="n"/>
      <c r="O584" s="25" t="n"/>
    </row>
    <row r="585" ht="15.75" customHeight="1" s="102"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5" t="n"/>
      <c r="O585" s="25" t="n"/>
    </row>
    <row r="586" ht="15.75" customHeight="1" s="102"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5" t="n"/>
      <c r="O586" s="25" t="n"/>
    </row>
    <row r="587" ht="15.75" customHeight="1" s="102"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5" t="n"/>
      <c r="O587" s="25" t="n"/>
    </row>
    <row r="588" ht="15.75" customHeight="1" s="102"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5" t="n"/>
      <c r="O588" s="25" t="n"/>
    </row>
    <row r="589" ht="15.75" customHeight="1" s="102"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5" t="n"/>
      <c r="O589" s="25" t="n"/>
    </row>
    <row r="590" ht="15.75" customHeight="1" s="102"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5" t="n"/>
      <c r="O590" s="25" t="n"/>
    </row>
    <row r="591" ht="15.75" customHeight="1" s="102"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5" t="n"/>
      <c r="O591" s="25" t="n"/>
    </row>
    <row r="592" ht="15.75" customHeight="1" s="102"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5" t="n"/>
      <c r="O592" s="25" t="n"/>
    </row>
    <row r="593" ht="15.75" customHeight="1" s="102"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5" t="n"/>
      <c r="O593" s="25" t="n"/>
    </row>
    <row r="594" ht="15.75" customHeight="1" s="102"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5" t="n"/>
      <c r="O594" s="25" t="n"/>
    </row>
    <row r="595" ht="15.75" customHeight="1" s="102"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5" t="n"/>
      <c r="O595" s="25" t="n"/>
    </row>
    <row r="596" ht="15.75" customHeight="1" s="102"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5" t="n"/>
      <c r="O596" s="25" t="n"/>
    </row>
    <row r="597" ht="15.75" customHeight="1" s="102"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5" t="n"/>
      <c r="O597" s="25" t="n"/>
    </row>
    <row r="598" ht="15.75" customHeight="1" s="102"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5" t="n"/>
      <c r="O598" s="25" t="n"/>
    </row>
    <row r="599" ht="15.75" customHeight="1" s="102"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5" t="n"/>
      <c r="O599" s="25" t="n"/>
    </row>
    <row r="600" ht="15.75" customHeight="1" s="102"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5" t="n"/>
      <c r="O600" s="25" t="n"/>
    </row>
    <row r="601" ht="15.75" customHeight="1" s="102"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5" t="n"/>
      <c r="O601" s="25" t="n"/>
    </row>
    <row r="602" ht="15.75" customHeight="1" s="102"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5" t="n"/>
      <c r="O602" s="25" t="n"/>
    </row>
    <row r="603" ht="15.75" customHeight="1" s="102"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5" t="n"/>
      <c r="O603" s="25" t="n"/>
    </row>
    <row r="604" ht="15.75" customHeight="1" s="102"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5" t="n"/>
      <c r="O604" s="25" t="n"/>
    </row>
    <row r="605" ht="15.75" customHeight="1" s="102"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5" t="n"/>
      <c r="O605" s="25" t="n"/>
    </row>
    <row r="606" ht="15.75" customHeight="1" s="102"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5" t="n"/>
      <c r="O606" s="25" t="n"/>
    </row>
    <row r="607" ht="15.75" customHeight="1" s="102"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5" t="n"/>
      <c r="O607" s="25" t="n"/>
    </row>
    <row r="608" ht="15.75" customHeight="1" s="102"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5" t="n"/>
      <c r="O608" s="25" t="n"/>
    </row>
    <row r="609" ht="15.75" customHeight="1" s="102"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5" t="n"/>
      <c r="O609" s="25" t="n"/>
    </row>
    <row r="610" ht="15.75" customHeight="1" s="102"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5" t="n"/>
      <c r="O610" s="25" t="n"/>
    </row>
    <row r="611" ht="15.75" customHeight="1" s="102"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5" t="n"/>
      <c r="O611" s="25" t="n"/>
    </row>
    <row r="612" ht="15.75" customHeight="1" s="102"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5" t="n"/>
      <c r="O612" s="25" t="n"/>
    </row>
    <row r="613" ht="15.75" customHeight="1" s="102"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5" t="n"/>
      <c r="O613" s="25" t="n"/>
    </row>
    <row r="614" ht="15.75" customHeight="1" s="102"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5" t="n"/>
      <c r="O614" s="25" t="n"/>
    </row>
    <row r="615" ht="15.75" customHeight="1" s="102"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5" t="n"/>
      <c r="O615" s="25" t="n"/>
    </row>
    <row r="616" ht="15.75" customHeight="1" s="102"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5" t="n"/>
      <c r="O616" s="25" t="n"/>
    </row>
    <row r="617" ht="15.75" customHeight="1" s="102"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5" t="n"/>
      <c r="O617" s="25" t="n"/>
    </row>
    <row r="618" ht="15.75" customHeight="1" s="102"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5" t="n"/>
      <c r="O618" s="25" t="n"/>
    </row>
    <row r="619" ht="15.75" customHeight="1" s="102"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5" t="n"/>
      <c r="O619" s="25" t="n"/>
    </row>
    <row r="620" ht="15.75" customHeight="1" s="102"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5" t="n"/>
      <c r="O620" s="25" t="n"/>
    </row>
    <row r="621" ht="15.75" customHeight="1" s="102"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5" t="n"/>
      <c r="O621" s="25" t="n"/>
    </row>
    <row r="622" ht="15.75" customHeight="1" s="102"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5" t="n"/>
      <c r="O622" s="25" t="n"/>
    </row>
    <row r="623" ht="15.75" customHeight="1" s="102"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5" t="n"/>
      <c r="O623" s="25" t="n"/>
    </row>
    <row r="624" ht="15.75" customHeight="1" s="102"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5" t="n"/>
      <c r="O624" s="25" t="n"/>
    </row>
    <row r="625" ht="15.75" customHeight="1" s="102"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5" t="n"/>
      <c r="O625" s="25" t="n"/>
    </row>
    <row r="626" ht="15.75" customHeight="1" s="102"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5" t="n"/>
      <c r="O626" s="25" t="n"/>
    </row>
    <row r="627" ht="15.75" customHeight="1" s="102"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5" t="n"/>
      <c r="O627" s="25" t="n"/>
    </row>
    <row r="628" ht="15.75" customHeight="1" s="102"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5" t="n"/>
      <c r="O628" s="25" t="n"/>
    </row>
    <row r="629" ht="15.75" customHeight="1" s="102"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5" t="n"/>
      <c r="O629" s="25" t="n"/>
    </row>
    <row r="630" ht="15.75" customHeight="1" s="102"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5" t="n"/>
      <c r="O630" s="25" t="n"/>
    </row>
    <row r="631" ht="15.75" customHeight="1" s="102"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5" t="n"/>
      <c r="O631" s="25" t="n"/>
    </row>
    <row r="632" ht="15.75" customHeight="1" s="102"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5" t="n"/>
      <c r="O632" s="25" t="n"/>
    </row>
    <row r="633" ht="15.75" customHeight="1" s="102"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5" t="n"/>
      <c r="O633" s="25" t="n"/>
    </row>
    <row r="634" ht="15.75" customHeight="1" s="102"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5" t="n"/>
      <c r="O634" s="25" t="n"/>
    </row>
    <row r="635" ht="15.75" customHeight="1" s="102"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5" t="n"/>
      <c r="O635" s="25" t="n"/>
    </row>
    <row r="636" ht="15.75" customHeight="1" s="102"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5" t="n"/>
      <c r="O636" s="25" t="n"/>
    </row>
    <row r="637" ht="15.75" customHeight="1" s="102"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5" t="n"/>
      <c r="O637" s="25" t="n"/>
    </row>
    <row r="638" ht="15.75" customHeight="1" s="102"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5" t="n"/>
      <c r="O638" s="25" t="n"/>
    </row>
    <row r="639" ht="15.75" customHeight="1" s="102"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5" t="n"/>
      <c r="O639" s="25" t="n"/>
    </row>
    <row r="640" ht="15.75" customHeight="1" s="102"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5" t="n"/>
      <c r="O640" s="25" t="n"/>
    </row>
    <row r="641" ht="15.75" customHeight="1" s="102"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5" t="n"/>
      <c r="O641" s="25" t="n"/>
    </row>
    <row r="642" ht="15.75" customHeight="1" s="102"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5" t="n"/>
      <c r="O642" s="25" t="n"/>
    </row>
    <row r="643" ht="15.75" customHeight="1" s="102"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5" t="n"/>
      <c r="O643" s="25" t="n"/>
    </row>
    <row r="644" ht="15.75" customHeight="1" s="102"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5" t="n"/>
      <c r="O644" s="25" t="n"/>
    </row>
    <row r="645" ht="15.75" customHeight="1" s="102"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5" t="n"/>
      <c r="O645" s="25" t="n"/>
    </row>
    <row r="646" ht="15.75" customHeight="1" s="102"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5" t="n"/>
      <c r="O646" s="25" t="n"/>
    </row>
    <row r="647" ht="15.75" customHeight="1" s="102"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5" t="n"/>
      <c r="O647" s="25" t="n"/>
    </row>
    <row r="648" ht="15.75" customHeight="1" s="102"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5" t="n"/>
      <c r="O648" s="25" t="n"/>
    </row>
    <row r="649" ht="15.75" customHeight="1" s="102"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5" t="n"/>
      <c r="O649" s="25" t="n"/>
    </row>
    <row r="650" ht="15.75" customHeight="1" s="102"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5" t="n"/>
      <c r="O650" s="25" t="n"/>
    </row>
    <row r="651" ht="15.75" customHeight="1" s="102"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5" t="n"/>
      <c r="O651" s="25" t="n"/>
    </row>
    <row r="652" ht="15.75" customHeight="1" s="102"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5" t="n"/>
      <c r="O652" s="25" t="n"/>
    </row>
    <row r="653" ht="15.75" customHeight="1" s="102"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5" t="n"/>
      <c r="O653" s="25" t="n"/>
    </row>
    <row r="654" ht="15.75" customHeight="1" s="102"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5" t="n"/>
      <c r="O654" s="25" t="n"/>
    </row>
    <row r="655" ht="15.75" customHeight="1" s="102"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5" t="n"/>
      <c r="O655" s="25" t="n"/>
    </row>
    <row r="656" ht="15.75" customHeight="1" s="102"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5" t="n"/>
      <c r="O656" s="25" t="n"/>
    </row>
    <row r="657" ht="15.75" customHeight="1" s="102"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5" t="n"/>
      <c r="O657" s="25" t="n"/>
    </row>
    <row r="658" ht="15.75" customHeight="1" s="102"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5" t="n"/>
      <c r="O658" s="25" t="n"/>
    </row>
    <row r="659" ht="15.75" customHeight="1" s="102"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5" t="n"/>
      <c r="O659" s="25" t="n"/>
    </row>
    <row r="660" ht="15.75" customHeight="1" s="102"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5" t="n"/>
      <c r="O660" s="25" t="n"/>
    </row>
    <row r="661" ht="15.75" customHeight="1" s="102"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5" t="n"/>
      <c r="O661" s="25" t="n"/>
    </row>
    <row r="662" ht="15.75" customHeight="1" s="102"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5" t="n"/>
      <c r="O662" s="25" t="n"/>
    </row>
    <row r="663" ht="15.75" customHeight="1" s="102"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5" t="n"/>
      <c r="O663" s="25" t="n"/>
    </row>
    <row r="664" ht="15.75" customHeight="1" s="102"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5" t="n"/>
      <c r="O664" s="25" t="n"/>
    </row>
    <row r="665" ht="15.75" customHeight="1" s="102"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5" t="n"/>
      <c r="O665" s="25" t="n"/>
    </row>
    <row r="666" ht="15.75" customHeight="1" s="102"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5" t="n"/>
      <c r="O666" s="25" t="n"/>
    </row>
    <row r="667" ht="15.75" customHeight="1" s="102"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5" t="n"/>
      <c r="O667" s="25" t="n"/>
    </row>
    <row r="668" ht="15.75" customHeight="1" s="102"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5" t="n"/>
      <c r="O668" s="25" t="n"/>
    </row>
    <row r="669" ht="15.75" customHeight="1" s="102"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5" t="n"/>
      <c r="O669" s="25" t="n"/>
    </row>
    <row r="670" ht="15.75" customHeight="1" s="102"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5" t="n"/>
      <c r="O670" s="25" t="n"/>
    </row>
    <row r="671" ht="15.75" customHeight="1" s="102"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5" t="n"/>
      <c r="O671" s="25" t="n"/>
    </row>
    <row r="672" ht="15.75" customHeight="1" s="102"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5" t="n"/>
      <c r="O672" s="25" t="n"/>
    </row>
    <row r="673" ht="15.75" customHeight="1" s="102"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5" t="n"/>
      <c r="O673" s="25" t="n"/>
    </row>
    <row r="674" ht="15.75" customHeight="1" s="102"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5" t="n"/>
      <c r="O674" s="25" t="n"/>
    </row>
    <row r="675" ht="15.75" customHeight="1" s="102"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5" t="n"/>
      <c r="O675" s="25" t="n"/>
    </row>
    <row r="676" ht="15.75" customHeight="1" s="102"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5" t="n"/>
      <c r="O676" s="25" t="n"/>
    </row>
    <row r="677" ht="15.75" customHeight="1" s="102"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5" t="n"/>
      <c r="O677" s="25" t="n"/>
    </row>
    <row r="678" ht="15.75" customHeight="1" s="102"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5" t="n"/>
      <c r="O678" s="25" t="n"/>
    </row>
    <row r="679" ht="15.75" customHeight="1" s="102"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5" t="n"/>
      <c r="O679" s="25" t="n"/>
    </row>
    <row r="680" ht="15.75" customHeight="1" s="102"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5" t="n"/>
      <c r="O680" s="25" t="n"/>
    </row>
    <row r="681" ht="15.75" customHeight="1" s="102"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5" t="n"/>
      <c r="O681" s="25" t="n"/>
    </row>
    <row r="682" ht="15.75" customHeight="1" s="102"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5" t="n"/>
      <c r="O682" s="25" t="n"/>
    </row>
    <row r="683" ht="15.75" customHeight="1" s="102"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5" t="n"/>
      <c r="O683" s="25" t="n"/>
    </row>
    <row r="684" ht="15.75" customHeight="1" s="102"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5" t="n"/>
      <c r="O684" s="25" t="n"/>
    </row>
    <row r="685" ht="15.75" customHeight="1" s="102"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5" t="n"/>
      <c r="O685" s="25" t="n"/>
    </row>
    <row r="686" ht="15.75" customHeight="1" s="102"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5" t="n"/>
      <c r="O686" s="25" t="n"/>
    </row>
    <row r="687" ht="15.75" customHeight="1" s="102"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5" t="n"/>
      <c r="O687" s="25" t="n"/>
    </row>
    <row r="688" ht="15.75" customHeight="1" s="102"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5" t="n"/>
      <c r="O688" s="25" t="n"/>
    </row>
    <row r="689" ht="15.75" customHeight="1" s="102"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5" t="n"/>
      <c r="O689" s="25" t="n"/>
    </row>
    <row r="690" ht="15.75" customHeight="1" s="102"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5" t="n"/>
      <c r="O690" s="25" t="n"/>
    </row>
    <row r="691" ht="15.75" customHeight="1" s="102"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5" t="n"/>
      <c r="O691" s="25" t="n"/>
    </row>
    <row r="692" ht="15.75" customHeight="1" s="102"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5" t="n"/>
      <c r="O692" s="25" t="n"/>
    </row>
    <row r="693" ht="15.75" customHeight="1" s="102"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5" t="n"/>
      <c r="O693" s="25" t="n"/>
    </row>
    <row r="694" ht="15.75" customHeight="1" s="102"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5" t="n"/>
      <c r="O694" s="25" t="n"/>
    </row>
    <row r="695" ht="15.75" customHeight="1" s="102"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5" t="n"/>
      <c r="O695" s="25" t="n"/>
    </row>
    <row r="696" ht="15.75" customHeight="1" s="102"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5" t="n"/>
      <c r="O696" s="25" t="n"/>
    </row>
    <row r="697" ht="15.75" customHeight="1" s="102"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5" t="n"/>
      <c r="O697" s="25" t="n"/>
    </row>
    <row r="698" ht="15.75" customHeight="1" s="102"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5" t="n"/>
      <c r="O698" s="25" t="n"/>
    </row>
    <row r="699" ht="15.75" customHeight="1" s="102"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5" t="n"/>
      <c r="O699" s="25" t="n"/>
    </row>
    <row r="700" ht="15.75" customHeight="1" s="102"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5" t="n"/>
      <c r="O700" s="25" t="n"/>
    </row>
    <row r="701" ht="15.75" customHeight="1" s="102"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5" t="n"/>
      <c r="O701" s="25" t="n"/>
    </row>
    <row r="702" ht="15.75" customHeight="1" s="102"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5" t="n"/>
      <c r="O702" s="25" t="n"/>
    </row>
    <row r="703" ht="15.75" customHeight="1" s="102"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5" t="n"/>
      <c r="O703" s="25" t="n"/>
    </row>
    <row r="704" ht="15.75" customHeight="1" s="102"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5" t="n"/>
      <c r="O704" s="25" t="n"/>
    </row>
    <row r="705" ht="15.75" customHeight="1" s="102"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5" t="n"/>
      <c r="O705" s="25" t="n"/>
    </row>
    <row r="706" ht="15.75" customHeight="1" s="102"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5" t="n"/>
      <c r="O706" s="25" t="n"/>
    </row>
    <row r="707" ht="15.75" customHeight="1" s="102"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5" t="n"/>
      <c r="O707" s="25" t="n"/>
    </row>
    <row r="708" ht="15.75" customHeight="1" s="102"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5" t="n"/>
      <c r="O708" s="25" t="n"/>
    </row>
    <row r="709" ht="15.75" customHeight="1" s="102"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5" t="n"/>
      <c r="O709" s="25" t="n"/>
    </row>
    <row r="710" ht="15.75" customHeight="1" s="102"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5" t="n"/>
      <c r="O710" s="25" t="n"/>
    </row>
    <row r="711" ht="15.75" customHeight="1" s="102"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5" t="n"/>
      <c r="O711" s="25" t="n"/>
    </row>
    <row r="712" ht="15.75" customHeight="1" s="102"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5" t="n"/>
      <c r="O712" s="25" t="n"/>
    </row>
    <row r="713" ht="15.75" customHeight="1" s="102"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5" t="n"/>
      <c r="O713" s="25" t="n"/>
    </row>
    <row r="714" ht="15.75" customHeight="1" s="102"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5" t="n"/>
      <c r="O714" s="25" t="n"/>
    </row>
    <row r="715" ht="15.75" customHeight="1" s="102"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5" t="n"/>
      <c r="O715" s="25" t="n"/>
    </row>
    <row r="716" ht="15.75" customHeight="1" s="102"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5" t="n"/>
      <c r="O716" s="25" t="n"/>
    </row>
    <row r="717" ht="15.75" customHeight="1" s="102"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5" t="n"/>
      <c r="O717" s="25" t="n"/>
    </row>
    <row r="718" ht="15.75" customHeight="1" s="102"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5" t="n"/>
      <c r="O718" s="25" t="n"/>
    </row>
    <row r="719" ht="15.75" customHeight="1" s="102"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5" t="n"/>
      <c r="O719" s="25" t="n"/>
    </row>
    <row r="720" ht="15.75" customHeight="1" s="102"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5" t="n"/>
      <c r="O720" s="25" t="n"/>
    </row>
    <row r="721" ht="15.75" customHeight="1" s="102"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5" t="n"/>
      <c r="O721" s="25" t="n"/>
    </row>
    <row r="722" ht="15.75" customHeight="1" s="102"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5" t="n"/>
      <c r="O722" s="25" t="n"/>
    </row>
    <row r="723" ht="15.75" customHeight="1" s="102"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5" t="n"/>
      <c r="O723" s="25" t="n"/>
    </row>
    <row r="724" ht="15.75" customHeight="1" s="102"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5" t="n"/>
      <c r="O724" s="25" t="n"/>
    </row>
    <row r="725" ht="15.75" customHeight="1" s="102"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5" t="n"/>
      <c r="O725" s="25" t="n"/>
    </row>
    <row r="726" ht="15.75" customHeight="1" s="102"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5" t="n"/>
      <c r="O726" s="25" t="n"/>
    </row>
    <row r="727" ht="15.75" customHeight="1" s="102"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5" t="n"/>
      <c r="O727" s="25" t="n"/>
    </row>
    <row r="728" ht="15.75" customHeight="1" s="102"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5" t="n"/>
      <c r="O728" s="25" t="n"/>
    </row>
    <row r="729" ht="15.75" customHeight="1" s="102"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5" t="n"/>
      <c r="O729" s="25" t="n"/>
    </row>
    <row r="730" ht="15.75" customHeight="1" s="102"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5" t="n"/>
      <c r="O730" s="25" t="n"/>
    </row>
    <row r="731" ht="15.75" customHeight="1" s="102"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5" t="n"/>
      <c r="O731" s="25" t="n"/>
    </row>
    <row r="732" ht="15.75" customHeight="1" s="102"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5" t="n"/>
      <c r="O732" s="25" t="n"/>
    </row>
    <row r="733" ht="15.75" customHeight="1" s="102"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5" t="n"/>
      <c r="O733" s="25" t="n"/>
    </row>
    <row r="734" ht="15.75" customHeight="1" s="102"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5" t="n"/>
      <c r="O734" s="25" t="n"/>
    </row>
    <row r="735" ht="15.75" customHeight="1" s="102"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5" t="n"/>
      <c r="O735" s="25" t="n"/>
    </row>
    <row r="736" ht="15.75" customHeight="1" s="102"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5" t="n"/>
      <c r="O736" s="25" t="n"/>
    </row>
    <row r="737" ht="15.75" customHeight="1" s="102"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5" t="n"/>
      <c r="O737" s="25" t="n"/>
    </row>
    <row r="738" ht="15.75" customHeight="1" s="102"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5" t="n"/>
      <c r="O738" s="25" t="n"/>
    </row>
    <row r="739" ht="15.75" customHeight="1" s="102"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5" t="n"/>
      <c r="O739" s="25" t="n"/>
    </row>
    <row r="740" ht="15.75" customHeight="1" s="102"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5" t="n"/>
      <c r="O740" s="25" t="n"/>
    </row>
    <row r="741" ht="15.75" customHeight="1" s="102"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5" t="n"/>
      <c r="O741" s="25" t="n"/>
    </row>
    <row r="742" ht="15.75" customHeight="1" s="102"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5" t="n"/>
      <c r="O742" s="25" t="n"/>
    </row>
    <row r="743" ht="15.75" customHeight="1" s="102"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5" t="n"/>
      <c r="O743" s="25" t="n"/>
    </row>
    <row r="744" ht="15.75" customHeight="1" s="102"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5" t="n"/>
      <c r="O744" s="25" t="n"/>
    </row>
    <row r="745" ht="15.75" customHeight="1" s="102"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5" t="n"/>
      <c r="O745" s="25" t="n"/>
    </row>
    <row r="746" ht="15.75" customHeight="1" s="102"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5" t="n"/>
      <c r="O746" s="25" t="n"/>
    </row>
    <row r="747" ht="15.75" customHeight="1" s="102"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5" t="n"/>
      <c r="O747" s="25" t="n"/>
    </row>
    <row r="748" ht="15.75" customHeight="1" s="102"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5" t="n"/>
      <c r="O748" s="25" t="n"/>
    </row>
    <row r="749" ht="15.75" customHeight="1" s="102"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5" t="n"/>
      <c r="O749" s="25" t="n"/>
    </row>
    <row r="750" ht="15.75" customHeight="1" s="102"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5" t="n"/>
      <c r="O750" s="25" t="n"/>
    </row>
    <row r="751" ht="15.75" customHeight="1" s="102"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5" t="n"/>
      <c r="O751" s="25" t="n"/>
    </row>
    <row r="752" ht="15.75" customHeight="1" s="102"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5" t="n"/>
      <c r="O752" s="25" t="n"/>
    </row>
    <row r="753" ht="15.75" customHeight="1" s="102"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5" t="n"/>
      <c r="O753" s="25" t="n"/>
    </row>
    <row r="754" ht="15.75" customHeight="1" s="102"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5" t="n"/>
      <c r="O754" s="25" t="n"/>
    </row>
    <row r="755" ht="15.75" customHeight="1" s="102"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5" t="n"/>
      <c r="O755" s="25" t="n"/>
    </row>
    <row r="756" ht="15.75" customHeight="1" s="102"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5" t="n"/>
      <c r="O756" s="25" t="n"/>
    </row>
    <row r="757" ht="15.75" customHeight="1" s="102"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5" t="n"/>
      <c r="O757" s="25" t="n"/>
    </row>
    <row r="758" ht="15.75" customHeight="1" s="102"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5" t="n"/>
      <c r="O758" s="25" t="n"/>
    </row>
    <row r="759" ht="15.75" customHeight="1" s="102"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5" t="n"/>
      <c r="O759" s="25" t="n"/>
    </row>
    <row r="760" ht="15.75" customHeight="1" s="102"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5" t="n"/>
      <c r="O760" s="25" t="n"/>
    </row>
    <row r="761" ht="15.75" customHeight="1" s="102"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5" t="n"/>
      <c r="O761" s="25" t="n"/>
    </row>
    <row r="762" ht="15.75" customHeight="1" s="102"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5" t="n"/>
      <c r="O762" s="25" t="n"/>
    </row>
    <row r="763" ht="15.75" customHeight="1" s="102"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5" t="n"/>
      <c r="O763" s="25" t="n"/>
    </row>
    <row r="764" ht="15.75" customHeight="1" s="102"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5" t="n"/>
      <c r="O764" s="25" t="n"/>
    </row>
    <row r="765" ht="15.75" customHeight="1" s="102"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5" t="n"/>
      <c r="O765" s="25" t="n"/>
    </row>
    <row r="766" ht="15.75" customHeight="1" s="102"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5" t="n"/>
      <c r="O766" s="25" t="n"/>
    </row>
    <row r="767" ht="15.75" customHeight="1" s="102"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5" t="n"/>
      <c r="O767" s="25" t="n"/>
    </row>
    <row r="768" ht="15.75" customHeight="1" s="102"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5" t="n"/>
      <c r="O768" s="25" t="n"/>
    </row>
    <row r="769" ht="15.75" customHeight="1" s="102"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5" t="n"/>
      <c r="O769" s="25" t="n"/>
    </row>
    <row r="770" ht="15.75" customHeight="1" s="102"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5" t="n"/>
      <c r="O770" s="25" t="n"/>
    </row>
    <row r="771" ht="15.75" customHeight="1" s="102"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5" t="n"/>
      <c r="O771" s="25" t="n"/>
    </row>
    <row r="772" ht="15.75" customHeight="1" s="102"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5" t="n"/>
      <c r="O772" s="25" t="n"/>
    </row>
    <row r="773" ht="15.75" customHeight="1" s="102"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5" t="n"/>
      <c r="O773" s="25" t="n"/>
    </row>
    <row r="774" ht="15.75" customHeight="1" s="102"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5" t="n"/>
      <c r="O774" s="25" t="n"/>
    </row>
    <row r="775" ht="15.75" customHeight="1" s="102"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5" t="n"/>
      <c r="O775" s="25" t="n"/>
    </row>
    <row r="776" ht="15.75" customHeight="1" s="102"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5" t="n"/>
      <c r="O776" s="25" t="n"/>
    </row>
    <row r="777" ht="15.75" customHeight="1" s="102"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5" t="n"/>
      <c r="O777" s="25" t="n"/>
    </row>
    <row r="778" ht="15.75" customHeight="1" s="102"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5" t="n"/>
      <c r="O778" s="25" t="n"/>
    </row>
    <row r="779" ht="15.75" customHeight="1" s="102"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5" t="n"/>
      <c r="O779" s="25" t="n"/>
    </row>
    <row r="780" ht="15.75" customHeight="1" s="102"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5" t="n"/>
      <c r="O780" s="25" t="n"/>
    </row>
    <row r="781" ht="15.75" customHeight="1" s="102"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5" t="n"/>
      <c r="O781" s="25" t="n"/>
    </row>
    <row r="782" ht="15.75" customHeight="1" s="102"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5" t="n"/>
      <c r="O782" s="25" t="n"/>
    </row>
    <row r="783" ht="15.75" customHeight="1" s="102"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5" t="n"/>
      <c r="O783" s="25" t="n"/>
    </row>
    <row r="784" ht="15.75" customHeight="1" s="102"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5" t="n"/>
      <c r="O784" s="25" t="n"/>
    </row>
    <row r="785" ht="15.75" customHeight="1" s="102"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5" t="n"/>
      <c r="O785" s="25" t="n"/>
    </row>
    <row r="786" ht="15.75" customHeight="1" s="102"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5" t="n"/>
      <c r="O786" s="25" t="n"/>
    </row>
    <row r="787" ht="15.75" customHeight="1" s="102"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5" t="n"/>
      <c r="O787" s="25" t="n"/>
    </row>
    <row r="788" ht="15.75" customHeight="1" s="102"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5" t="n"/>
      <c r="O788" s="25" t="n"/>
    </row>
    <row r="789" ht="15.75" customHeight="1" s="102"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5" t="n"/>
      <c r="O789" s="25" t="n"/>
    </row>
    <row r="790" ht="15.75" customHeight="1" s="102"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5" t="n"/>
      <c r="O790" s="25" t="n"/>
    </row>
    <row r="791" ht="15.75" customHeight="1" s="102"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5" t="n"/>
      <c r="O791" s="25" t="n"/>
    </row>
    <row r="792" ht="15.75" customHeight="1" s="102"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5" t="n"/>
      <c r="O792" s="25" t="n"/>
    </row>
    <row r="793" ht="15.75" customHeight="1" s="102"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5" t="n"/>
      <c r="O793" s="25" t="n"/>
    </row>
    <row r="794" ht="15.75" customHeight="1" s="102"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5" t="n"/>
      <c r="O794" s="25" t="n"/>
    </row>
    <row r="795" ht="15.75" customHeight="1" s="102"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5" t="n"/>
      <c r="O795" s="25" t="n"/>
    </row>
    <row r="796" ht="15.75" customHeight="1" s="102"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5" t="n"/>
      <c r="O796" s="25" t="n"/>
    </row>
    <row r="797" ht="15.75" customHeight="1" s="102"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5" t="n"/>
      <c r="O797" s="25" t="n"/>
    </row>
    <row r="798" ht="15.75" customHeight="1" s="102"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5" t="n"/>
      <c r="O798" s="25" t="n"/>
    </row>
    <row r="799" ht="15.75" customHeight="1" s="102"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5" t="n"/>
      <c r="O799" s="25" t="n"/>
    </row>
    <row r="800" ht="15.75" customHeight="1" s="102"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5" t="n"/>
      <c r="O800" s="25" t="n"/>
    </row>
    <row r="801" ht="15.75" customHeight="1" s="102"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5" t="n"/>
      <c r="O801" s="25" t="n"/>
    </row>
    <row r="802" ht="15.75" customHeight="1" s="102"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5" t="n"/>
      <c r="O802" s="25" t="n"/>
    </row>
    <row r="803" ht="15.75" customHeight="1" s="102"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5" t="n"/>
      <c r="O803" s="25" t="n"/>
    </row>
    <row r="804" ht="15.75" customHeight="1" s="102"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5" t="n"/>
      <c r="O804" s="25" t="n"/>
    </row>
    <row r="805" ht="15.75" customHeight="1" s="102"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5" t="n"/>
      <c r="O805" s="25" t="n"/>
    </row>
    <row r="806" ht="15.75" customHeight="1" s="102"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5" t="n"/>
      <c r="O806" s="25" t="n"/>
    </row>
    <row r="807" ht="15.75" customHeight="1" s="102"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5" t="n"/>
      <c r="O807" s="25" t="n"/>
    </row>
    <row r="808" ht="15.75" customHeight="1" s="102"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5" t="n"/>
      <c r="O808" s="25" t="n"/>
    </row>
    <row r="809" ht="15.75" customHeight="1" s="102"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5" t="n"/>
      <c r="O809" s="25" t="n"/>
    </row>
    <row r="810" ht="15.75" customHeight="1" s="102"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5" t="n"/>
      <c r="O810" s="25" t="n"/>
    </row>
    <row r="811" ht="15.75" customHeight="1" s="102"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5" t="n"/>
      <c r="O811" s="25" t="n"/>
    </row>
    <row r="812" ht="15.75" customHeight="1" s="102"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5" t="n"/>
      <c r="O812" s="25" t="n"/>
    </row>
    <row r="813" ht="15.75" customHeight="1" s="102"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5" t="n"/>
      <c r="O813" s="25" t="n"/>
    </row>
    <row r="814" ht="15.75" customHeight="1" s="102"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5" t="n"/>
      <c r="O814" s="25" t="n"/>
    </row>
    <row r="815" ht="15.75" customHeight="1" s="102"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5" t="n"/>
      <c r="O815" s="25" t="n"/>
    </row>
    <row r="816" ht="15.75" customHeight="1" s="102"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5" t="n"/>
      <c r="O816" s="25" t="n"/>
    </row>
    <row r="817" ht="15.75" customHeight="1" s="102"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5" t="n"/>
      <c r="O817" s="25" t="n"/>
    </row>
    <row r="818" ht="15.75" customHeight="1" s="102"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5" t="n"/>
      <c r="O818" s="25" t="n"/>
    </row>
    <row r="819" ht="15.75" customHeight="1" s="102"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5" t="n"/>
      <c r="O819" s="25" t="n"/>
    </row>
    <row r="820" ht="15.75" customHeight="1" s="102"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5" t="n"/>
      <c r="O820" s="25" t="n"/>
    </row>
    <row r="821" ht="15.75" customHeight="1" s="102"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5" t="n"/>
      <c r="O821" s="25" t="n"/>
    </row>
    <row r="822" ht="15.75" customHeight="1" s="102"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5" t="n"/>
      <c r="O822" s="25" t="n"/>
    </row>
    <row r="823" ht="15.75" customHeight="1" s="102"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5" t="n"/>
      <c r="O823" s="25" t="n"/>
    </row>
    <row r="824" ht="15.75" customHeight="1" s="102"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5" t="n"/>
      <c r="O824" s="25" t="n"/>
    </row>
    <row r="825" ht="15.75" customHeight="1" s="102"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5" t="n"/>
      <c r="O825" s="25" t="n"/>
    </row>
    <row r="826" ht="15.75" customHeight="1" s="102"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5" t="n"/>
      <c r="O826" s="25" t="n"/>
    </row>
    <row r="827" ht="15.75" customHeight="1" s="102"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5" t="n"/>
      <c r="O827" s="25" t="n"/>
    </row>
    <row r="828" ht="15.75" customHeight="1" s="102"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5" t="n"/>
      <c r="O828" s="25" t="n"/>
    </row>
    <row r="829" ht="15.75" customHeight="1" s="102"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5" t="n"/>
      <c r="O829" s="25" t="n"/>
    </row>
    <row r="830" ht="15.75" customHeight="1" s="102"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5" t="n"/>
      <c r="O830" s="25" t="n"/>
    </row>
    <row r="831" ht="15.75" customHeight="1" s="102"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5" t="n"/>
      <c r="O831" s="25" t="n"/>
    </row>
    <row r="832" ht="15.75" customHeight="1" s="102"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5" t="n"/>
      <c r="O832" s="25" t="n"/>
    </row>
    <row r="833" ht="15.75" customHeight="1" s="102"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5" t="n"/>
      <c r="O833" s="25" t="n"/>
    </row>
    <row r="834" ht="15.75" customHeight="1" s="102"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5" t="n"/>
      <c r="O834" s="25" t="n"/>
    </row>
    <row r="835" ht="15.75" customHeight="1" s="102"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5" t="n"/>
      <c r="O835" s="25" t="n"/>
    </row>
    <row r="836" ht="15.75" customHeight="1" s="102"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5" t="n"/>
      <c r="O836" s="25" t="n"/>
    </row>
    <row r="837" ht="15.75" customHeight="1" s="102"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5" t="n"/>
      <c r="O837" s="25" t="n"/>
    </row>
    <row r="838" ht="15.75" customHeight="1" s="102"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5" t="n"/>
      <c r="O838" s="25" t="n"/>
    </row>
    <row r="839" ht="15.75" customHeight="1" s="102"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5" t="n"/>
      <c r="O839" s="25" t="n"/>
    </row>
    <row r="840" ht="15.75" customHeight="1" s="102"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5" t="n"/>
      <c r="O840" s="25" t="n"/>
    </row>
    <row r="841" ht="15.75" customHeight="1" s="102"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5" t="n"/>
      <c r="O841" s="25" t="n"/>
    </row>
    <row r="842" ht="15.75" customHeight="1" s="102"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5" t="n"/>
      <c r="O842" s="25" t="n"/>
    </row>
    <row r="843" ht="15.75" customHeight="1" s="102"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5" t="n"/>
      <c r="O843" s="25" t="n"/>
    </row>
    <row r="844" ht="15.75" customHeight="1" s="102"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5" t="n"/>
      <c r="O844" s="25" t="n"/>
    </row>
    <row r="845" ht="15.75" customHeight="1" s="102"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5" t="n"/>
      <c r="O845" s="25" t="n"/>
    </row>
    <row r="846" ht="15.75" customHeight="1" s="102"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5" t="n"/>
      <c r="O846" s="25" t="n"/>
    </row>
    <row r="847" ht="15.75" customHeight="1" s="102"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5" t="n"/>
      <c r="O847" s="25" t="n"/>
    </row>
    <row r="848" ht="15.75" customHeight="1" s="102"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5" t="n"/>
      <c r="O848" s="25" t="n"/>
    </row>
    <row r="849" ht="15.75" customHeight="1" s="102"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5" t="n"/>
      <c r="O849" s="25" t="n"/>
    </row>
    <row r="850" ht="15.75" customHeight="1" s="102"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5" t="n"/>
      <c r="O850" s="25" t="n"/>
    </row>
    <row r="851" ht="15.75" customHeight="1" s="102"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5" t="n"/>
      <c r="O851" s="25" t="n"/>
    </row>
    <row r="852" ht="15.75" customHeight="1" s="102"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5" t="n"/>
      <c r="O852" s="25" t="n"/>
    </row>
    <row r="853" ht="15.75" customHeight="1" s="102"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5" t="n"/>
      <c r="O853" s="25" t="n"/>
    </row>
    <row r="854" ht="15.75" customHeight="1" s="102"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5" t="n"/>
      <c r="O854" s="25" t="n"/>
    </row>
    <row r="855" ht="15.75" customHeight="1" s="102"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5" t="n"/>
      <c r="O855" s="25" t="n"/>
    </row>
    <row r="856" ht="15.75" customHeight="1" s="102"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5" t="n"/>
      <c r="O856" s="25" t="n"/>
    </row>
    <row r="857" ht="15.75" customHeight="1" s="102"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5" t="n"/>
      <c r="O857" s="25" t="n"/>
    </row>
    <row r="858" ht="15.75" customHeight="1" s="102"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5" t="n"/>
      <c r="O858" s="25" t="n"/>
    </row>
    <row r="859" ht="15.75" customHeight="1" s="102"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5" t="n"/>
      <c r="O859" s="25" t="n"/>
    </row>
    <row r="860" ht="15.75" customHeight="1" s="102"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5" t="n"/>
      <c r="O860" s="25" t="n"/>
    </row>
    <row r="861" ht="15.75" customHeight="1" s="102"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5" t="n"/>
      <c r="O861" s="25" t="n"/>
    </row>
    <row r="862" ht="15.75" customHeight="1" s="102"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5" t="n"/>
      <c r="O862" s="25" t="n"/>
    </row>
    <row r="863" ht="15.75" customHeight="1" s="102"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5" t="n"/>
      <c r="O863" s="25" t="n"/>
    </row>
    <row r="864" ht="15.75" customHeight="1" s="102"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5" t="n"/>
      <c r="O864" s="25" t="n"/>
    </row>
    <row r="865" ht="15.75" customHeight="1" s="102"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5" t="n"/>
      <c r="O865" s="25" t="n"/>
    </row>
    <row r="866" ht="15.75" customHeight="1" s="102"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5" t="n"/>
      <c r="O866" s="25" t="n"/>
    </row>
    <row r="867" ht="15.75" customHeight="1" s="102"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5" t="n"/>
      <c r="O867" s="25" t="n"/>
    </row>
    <row r="868" ht="15.75" customHeight="1" s="102"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5" t="n"/>
      <c r="O868" s="25" t="n"/>
    </row>
    <row r="869" ht="15.75" customHeight="1" s="102"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5" t="n"/>
      <c r="O869" s="25" t="n"/>
    </row>
    <row r="870" ht="15.75" customHeight="1" s="102"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5" t="n"/>
      <c r="O870" s="25" t="n"/>
    </row>
    <row r="871" ht="15.75" customHeight="1" s="102"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5" t="n"/>
      <c r="O871" s="25" t="n"/>
    </row>
    <row r="872" ht="15.75" customHeight="1" s="102"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5" t="n"/>
      <c r="O872" s="25" t="n"/>
    </row>
    <row r="873" ht="15.75" customHeight="1" s="102"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5" t="n"/>
      <c r="O873" s="25" t="n"/>
    </row>
    <row r="874" ht="15.75" customHeight="1" s="102"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5" t="n"/>
      <c r="O874" s="25" t="n"/>
    </row>
    <row r="875" ht="15.75" customHeight="1" s="102"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5" t="n"/>
      <c r="O875" s="25" t="n"/>
    </row>
    <row r="876" ht="15.75" customHeight="1" s="102"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5" t="n"/>
      <c r="O876" s="25" t="n"/>
    </row>
    <row r="877" ht="15.75" customHeight="1" s="102"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5" t="n"/>
      <c r="O877" s="25" t="n"/>
    </row>
    <row r="878" ht="15.75" customHeight="1" s="102"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5" t="n"/>
      <c r="O878" s="25" t="n"/>
    </row>
    <row r="879" ht="15.75" customHeight="1" s="102"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5" t="n"/>
      <c r="O879" s="25" t="n"/>
    </row>
    <row r="880" ht="15.75" customHeight="1" s="102"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5" t="n"/>
      <c r="O880" s="25" t="n"/>
    </row>
    <row r="881" ht="15.75" customHeight="1" s="102"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5" t="n"/>
      <c r="O881" s="25" t="n"/>
    </row>
    <row r="882" ht="15.75" customHeight="1" s="102"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5" t="n"/>
      <c r="O882" s="25" t="n"/>
    </row>
    <row r="883" ht="15.75" customHeight="1" s="102"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5" t="n"/>
      <c r="O883" s="25" t="n"/>
    </row>
    <row r="884" ht="15.75" customHeight="1" s="102"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5" t="n"/>
      <c r="O884" s="25" t="n"/>
    </row>
    <row r="885" ht="15.75" customHeight="1" s="102"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5" t="n"/>
      <c r="O885" s="25" t="n"/>
    </row>
    <row r="886" ht="15.75" customHeight="1" s="102"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5" t="n"/>
      <c r="O886" s="25" t="n"/>
    </row>
    <row r="887" ht="15.75" customHeight="1" s="102"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5" t="n"/>
      <c r="O887" s="25" t="n"/>
    </row>
    <row r="888" ht="15.75" customHeight="1" s="102"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5" t="n"/>
      <c r="O888" s="25" t="n"/>
    </row>
    <row r="889" ht="15.75" customHeight="1" s="102"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5" t="n"/>
      <c r="O889" s="25" t="n"/>
    </row>
    <row r="890" ht="15.75" customHeight="1" s="102"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5" t="n"/>
      <c r="O890" s="25" t="n"/>
    </row>
    <row r="891" ht="15.75" customHeight="1" s="102"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5" t="n"/>
      <c r="O891" s="25" t="n"/>
    </row>
    <row r="892" ht="15.75" customHeight="1" s="102"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5" t="n"/>
      <c r="O892" s="25" t="n"/>
    </row>
    <row r="893" ht="15.75" customHeight="1" s="102"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5" t="n"/>
      <c r="O893" s="25" t="n"/>
    </row>
    <row r="894" ht="15.75" customHeight="1" s="102"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5" t="n"/>
      <c r="O894" s="25" t="n"/>
    </row>
    <row r="895" ht="15.75" customHeight="1" s="102"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5" t="n"/>
      <c r="O895" s="25" t="n"/>
    </row>
    <row r="896" ht="15.75" customHeight="1" s="102"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5" t="n"/>
      <c r="O896" s="25" t="n"/>
    </row>
    <row r="897" ht="15.75" customHeight="1" s="102"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5" t="n"/>
      <c r="O897" s="25" t="n"/>
    </row>
    <row r="898" ht="15.75" customHeight="1" s="102"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5" t="n"/>
      <c r="O898" s="25" t="n"/>
    </row>
    <row r="899" ht="15.75" customHeight="1" s="102"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5" t="n"/>
      <c r="O899" s="25" t="n"/>
    </row>
    <row r="900" ht="15.75" customHeight="1" s="102"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5" t="n"/>
      <c r="O900" s="25" t="n"/>
    </row>
    <row r="901" ht="15.75" customHeight="1" s="102"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5" t="n"/>
      <c r="O901" s="25" t="n"/>
    </row>
    <row r="902" ht="15.75" customHeight="1" s="102"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5" t="n"/>
      <c r="O902" s="25" t="n"/>
    </row>
    <row r="903" ht="15.75" customHeight="1" s="102"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5" t="n"/>
      <c r="O903" s="25" t="n"/>
    </row>
    <row r="904" ht="15.75" customHeight="1" s="102"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5" t="n"/>
      <c r="O904" s="25" t="n"/>
    </row>
    <row r="905" ht="15.75" customHeight="1" s="102"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5" t="n"/>
      <c r="O905" s="25" t="n"/>
    </row>
    <row r="906" ht="15.75" customHeight="1" s="102"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5" t="n"/>
      <c r="O906" s="25" t="n"/>
    </row>
    <row r="907" ht="15.75" customHeight="1" s="102"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5" t="n"/>
      <c r="O907" s="25" t="n"/>
    </row>
    <row r="908" ht="15.75" customHeight="1" s="102"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5" t="n"/>
      <c r="O908" s="25" t="n"/>
    </row>
    <row r="909" ht="15.75" customHeight="1" s="102"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5" t="n"/>
      <c r="O909" s="25" t="n"/>
    </row>
    <row r="910" ht="15.75" customHeight="1" s="102"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5" t="n"/>
      <c r="O910" s="25" t="n"/>
    </row>
    <row r="911" ht="15.75" customHeight="1" s="102"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5" t="n"/>
      <c r="O911" s="25" t="n"/>
    </row>
    <row r="912" ht="15.75" customHeight="1" s="102"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5" t="n"/>
      <c r="O912" s="25" t="n"/>
    </row>
    <row r="913" ht="15.75" customHeight="1" s="102"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5" t="n"/>
      <c r="O913" s="25" t="n"/>
    </row>
    <row r="914" ht="15.75" customHeight="1" s="102"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5" t="n"/>
      <c r="O914" s="25" t="n"/>
    </row>
    <row r="915" ht="15.75" customHeight="1" s="102"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5" t="n"/>
      <c r="O915" s="25" t="n"/>
    </row>
    <row r="916" ht="15.75" customHeight="1" s="102"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5" t="n"/>
      <c r="O916" s="25" t="n"/>
    </row>
    <row r="917" ht="15.75" customHeight="1" s="102"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5" t="n"/>
      <c r="O917" s="25" t="n"/>
    </row>
    <row r="918" ht="15.75" customHeight="1" s="102"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5" t="n"/>
      <c r="O918" s="25" t="n"/>
    </row>
    <row r="919" ht="15.75" customHeight="1" s="102"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5" t="n"/>
      <c r="O919" s="25" t="n"/>
    </row>
    <row r="920" ht="15.75" customHeight="1" s="102"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5" t="n"/>
      <c r="O920" s="25" t="n"/>
    </row>
    <row r="921" ht="15.75" customHeight="1" s="102"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5" t="n"/>
      <c r="O921" s="25" t="n"/>
    </row>
    <row r="922" ht="15.75" customHeight="1" s="102"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5" t="n"/>
      <c r="O922" s="25" t="n"/>
    </row>
    <row r="923" ht="15.75" customHeight="1" s="102"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5" t="n"/>
      <c r="O923" s="25" t="n"/>
    </row>
    <row r="924" ht="15.75" customHeight="1" s="102"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5" t="n"/>
      <c r="O924" s="25" t="n"/>
    </row>
    <row r="925" ht="15.75" customHeight="1" s="102"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5" t="n"/>
      <c r="O925" s="25" t="n"/>
    </row>
    <row r="926" ht="15.75" customHeight="1" s="102"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5" t="n"/>
      <c r="O926" s="25" t="n"/>
    </row>
    <row r="927" ht="15.75" customHeight="1" s="102"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5" t="n"/>
      <c r="O927" s="25" t="n"/>
    </row>
    <row r="928" ht="15.75" customHeight="1" s="102"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5" t="n"/>
      <c r="O928" s="25" t="n"/>
    </row>
    <row r="929" ht="15.75" customHeight="1" s="102"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5" t="n"/>
      <c r="O929" s="25" t="n"/>
    </row>
    <row r="930" ht="15.75" customHeight="1" s="102"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5" t="n"/>
      <c r="O930" s="25" t="n"/>
    </row>
    <row r="931" ht="15.75" customHeight="1" s="102"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5" t="n"/>
      <c r="O931" s="25" t="n"/>
    </row>
    <row r="932" ht="15.75" customHeight="1" s="102"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5" t="n"/>
      <c r="O932" s="25" t="n"/>
    </row>
    <row r="933" ht="15.75" customHeight="1" s="102"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5" t="n"/>
      <c r="O933" s="25" t="n"/>
    </row>
    <row r="934" ht="15.75" customHeight="1" s="102"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5" t="n"/>
      <c r="O934" s="25" t="n"/>
    </row>
    <row r="935" ht="15.75" customHeight="1" s="102"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5" t="n"/>
      <c r="O935" s="25" t="n"/>
    </row>
    <row r="936" ht="15.75" customHeight="1" s="102"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5" t="n"/>
      <c r="O936" s="25" t="n"/>
    </row>
    <row r="937" ht="15.75" customHeight="1" s="102"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5" t="n"/>
      <c r="O937" s="25" t="n"/>
    </row>
    <row r="938" ht="15.75" customHeight="1" s="102"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5" t="n"/>
      <c r="O938" s="25" t="n"/>
    </row>
    <row r="939" ht="15.75" customHeight="1" s="102"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5" t="n"/>
      <c r="O939" s="25" t="n"/>
    </row>
    <row r="940" ht="15.75" customHeight="1" s="102"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5" t="n"/>
      <c r="O940" s="25" t="n"/>
    </row>
    <row r="941" ht="15.75" customHeight="1" s="102"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5" t="n"/>
      <c r="O941" s="25" t="n"/>
    </row>
    <row r="942" ht="15.75" customHeight="1" s="102"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5" t="n"/>
      <c r="O942" s="25" t="n"/>
    </row>
    <row r="943" ht="15.75" customHeight="1" s="102"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5" t="n"/>
      <c r="O943" s="25" t="n"/>
    </row>
    <row r="944" ht="15.75" customHeight="1" s="102"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5" t="n"/>
      <c r="O944" s="25" t="n"/>
    </row>
    <row r="945" ht="15.75" customHeight="1" s="102"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5" t="n"/>
      <c r="O945" s="25" t="n"/>
    </row>
    <row r="946" ht="15.75" customHeight="1" s="102"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5" t="n"/>
      <c r="O946" s="25" t="n"/>
    </row>
    <row r="947" ht="15.75" customHeight="1" s="102"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5" t="n"/>
      <c r="O947" s="25" t="n"/>
    </row>
    <row r="948" ht="15.75" customHeight="1" s="102"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5" t="n"/>
      <c r="O948" s="25" t="n"/>
    </row>
    <row r="949" ht="15.75" customHeight="1" s="102"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5" t="n"/>
      <c r="O949" s="25" t="n"/>
    </row>
    <row r="950" ht="15.75" customHeight="1" s="102"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5" t="n"/>
      <c r="O950" s="25" t="n"/>
    </row>
    <row r="951" ht="15.75" customHeight="1" s="102"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5" t="n"/>
      <c r="O951" s="25" t="n"/>
    </row>
    <row r="952" ht="15.75" customHeight="1" s="102"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5" t="n"/>
      <c r="O952" s="25" t="n"/>
    </row>
    <row r="953" ht="15.75" customHeight="1" s="102"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5" t="n"/>
      <c r="O953" s="25" t="n"/>
    </row>
    <row r="954" ht="15.75" customHeight="1" s="102"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5" t="n"/>
      <c r="O954" s="25" t="n"/>
    </row>
    <row r="955" ht="15.75" customHeight="1" s="102"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5" t="n"/>
      <c r="O955" s="25" t="n"/>
    </row>
    <row r="956" ht="15.75" customHeight="1" s="102"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5" t="n"/>
      <c r="O956" s="25" t="n"/>
    </row>
    <row r="957" ht="15.75" customHeight="1" s="102"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5" t="n"/>
      <c r="O957" s="25" t="n"/>
    </row>
    <row r="958" ht="15.75" customHeight="1" s="102"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5" t="n"/>
      <c r="O958" s="25" t="n"/>
    </row>
    <row r="959" ht="15.75" customHeight="1" s="102"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5" t="n"/>
      <c r="O959" s="25" t="n"/>
    </row>
    <row r="960" ht="15.75" customHeight="1" s="102"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5" t="n"/>
      <c r="O960" s="25" t="n"/>
    </row>
    <row r="961" ht="15.75" customHeight="1" s="102"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5" t="n"/>
      <c r="O961" s="25" t="n"/>
    </row>
    <row r="962" ht="15.75" customHeight="1" s="102"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5" t="n"/>
      <c r="O962" s="25" t="n"/>
    </row>
    <row r="963" ht="15.75" customHeight="1" s="102"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5" t="n"/>
      <c r="O963" s="25" t="n"/>
    </row>
    <row r="964" ht="15.75" customHeight="1" s="102"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5" t="n"/>
      <c r="O964" s="25" t="n"/>
    </row>
    <row r="965" ht="15.75" customHeight="1" s="102"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5" t="n"/>
      <c r="O965" s="25" t="n"/>
    </row>
    <row r="966" ht="15.75" customHeight="1" s="102"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5" t="n"/>
      <c r="O966" s="25" t="n"/>
    </row>
    <row r="967" ht="15.75" customHeight="1" s="102"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5" t="n"/>
      <c r="O967" s="25" t="n"/>
    </row>
    <row r="968" ht="15.75" customHeight="1" s="102"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5" t="n"/>
      <c r="O968" s="25" t="n"/>
    </row>
    <row r="969" ht="15.75" customHeight="1" s="102"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5" t="n"/>
      <c r="O969" s="25" t="n"/>
    </row>
    <row r="970" ht="15.75" customHeight="1" s="102"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5" t="n"/>
      <c r="O970" s="25" t="n"/>
    </row>
    <row r="971" ht="15.75" customHeight="1" s="102"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5" t="n"/>
      <c r="O971" s="25" t="n"/>
    </row>
    <row r="972" ht="15.75" customHeight="1" s="102"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5" t="n"/>
      <c r="O972" s="25" t="n"/>
    </row>
    <row r="973" ht="15.75" customHeight="1" s="102"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5" t="n"/>
      <c r="O973" s="25" t="n"/>
    </row>
    <row r="974" ht="15.75" customHeight="1" s="102"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5" t="n"/>
      <c r="O974" s="25" t="n"/>
    </row>
    <row r="975" ht="15.75" customHeight="1" s="102"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5" t="n"/>
      <c r="O975" s="25" t="n"/>
    </row>
    <row r="976" ht="15.75" customHeight="1" s="102"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5" t="n"/>
      <c r="O976" s="25" t="n"/>
    </row>
    <row r="977" ht="15.75" customHeight="1" s="102"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5" t="n"/>
      <c r="O977" s="25" t="n"/>
    </row>
    <row r="978" ht="15.75" customHeight="1" s="102"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5" t="n"/>
      <c r="O978" s="25" t="n"/>
    </row>
    <row r="979" ht="15.75" customHeight="1" s="102"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5" t="n"/>
      <c r="O979" s="25" t="n"/>
    </row>
    <row r="980" ht="15.75" customHeight="1" s="102"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5" t="n"/>
      <c r="O980" s="25" t="n"/>
    </row>
    <row r="981" ht="15.75" customHeight="1" s="102"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5" t="n"/>
      <c r="O981" s="25" t="n"/>
    </row>
    <row r="982" ht="15.75" customHeight="1" s="102"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5" t="n"/>
      <c r="O982" s="25" t="n"/>
    </row>
    <row r="983" ht="15.75" customHeight="1" s="102"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5" t="n"/>
      <c r="O983" s="25" t="n"/>
    </row>
    <row r="984" ht="15.75" customHeight="1" s="102"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5" t="n"/>
      <c r="O984" s="25" t="n"/>
    </row>
    <row r="985" ht="15.75" customHeight="1" s="102"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5" t="n"/>
      <c r="O985" s="25" t="n"/>
    </row>
    <row r="986" ht="15.75" customHeight="1" s="102"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5" t="n"/>
      <c r="O986" s="25" t="n"/>
    </row>
    <row r="987" ht="15.75" customHeight="1" s="102"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5" t="n"/>
      <c r="O987" s="25" t="n"/>
    </row>
    <row r="988" ht="15.75" customHeight="1" s="102"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5" t="n"/>
      <c r="O988" s="25" t="n"/>
    </row>
    <row r="989" ht="15.75" customHeight="1" s="102"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5" t="n"/>
      <c r="O989" s="25" t="n"/>
    </row>
    <row r="990" ht="15.75" customHeight="1" s="102"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5" t="n"/>
      <c r="O990" s="25" t="n"/>
    </row>
    <row r="991" ht="15.75" customHeight="1" s="102"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5" t="n"/>
      <c r="O991" s="25" t="n"/>
    </row>
    <row r="992" ht="15.75" customHeight="1" s="102"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5" t="n"/>
      <c r="O992" s="25" t="n"/>
    </row>
    <row r="993" ht="15.75" customHeight="1" s="102"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5" t="n"/>
      <c r="O993" s="25" t="n"/>
    </row>
    <row r="994" ht="15.75" customHeight="1" s="102"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5" t="n"/>
      <c r="O994" s="25" t="n"/>
    </row>
    <row r="995" ht="15.75" customHeight="1" s="102"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5" t="n"/>
      <c r="O995" s="25" t="n"/>
    </row>
    <row r="996" ht="15.75" customHeight="1" s="102"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5" t="n"/>
      <c r="O996" s="25" t="n"/>
    </row>
    <row r="997" ht="15.75" customHeight="1" s="102"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5" t="n"/>
      <c r="O997" s="25" t="n"/>
    </row>
    <row r="998" ht="15.75" customHeight="1" s="102"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5" t="n"/>
      <c r="O998" s="25" t="n"/>
    </row>
    <row r="999" ht="15.75" customHeight="1" s="102"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5" t="n"/>
      <c r="O999" s="25" t="n"/>
    </row>
  </sheetData>
  <mergeCells count="1">
    <mergeCell ref="C1:N1"/>
  </mergeCells>
  <hyperlinks>
    <hyperlink xmlns:r="http://schemas.openxmlformats.org/officeDocument/2006/relationships" ref="R36" display="javascript:;" r:id="rId1"/>
    <hyperlink xmlns:r="http://schemas.openxmlformats.org/officeDocument/2006/relationships" ref="R37" display="javascript:;" r:id="rId2"/>
    <hyperlink xmlns:r="http://schemas.openxmlformats.org/officeDocument/2006/relationships" ref="R65" display="javascript:;" r:id="rId3"/>
    <hyperlink xmlns:r="http://schemas.openxmlformats.org/officeDocument/2006/relationships" ref="R66" display="javascript:;" r:id="rId4"/>
    <hyperlink xmlns:r="http://schemas.openxmlformats.org/officeDocument/2006/relationships" ref="R67" display="javascript:;" r:id="rId5"/>
    <hyperlink xmlns:r="http://schemas.openxmlformats.org/officeDocument/2006/relationships" ref="R68" display="javascript:;" r:id="rId6"/>
    <hyperlink xmlns:r="http://schemas.openxmlformats.org/officeDocument/2006/relationships" ref="R69" display="javascript:;" r:id="rId7"/>
    <hyperlink xmlns:r="http://schemas.openxmlformats.org/officeDocument/2006/relationships" ref="R70" display="javascript:;" r:id="rId8"/>
  </hyperlinks>
  <printOptions gridLines="1"/>
  <pageMargins left="0.7" right="0.7" top="0.75" bottom="0.75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97"/>
  <sheetViews>
    <sheetView tabSelected="1" workbookViewId="0">
      <pane ySplit="2" topLeftCell="A3" activePane="bottomLeft" state="frozen"/>
      <selection pane="bottomLeft" activeCell="B4" sqref="B4"/>
    </sheetView>
  </sheetViews>
  <sheetFormatPr baseColWidth="8" defaultColWidth="14.44140625" defaultRowHeight="15" customHeight="1"/>
  <cols>
    <col width="5.33203125" customWidth="1" style="102" min="1" max="1"/>
    <col width="24.44140625" customWidth="1" style="102" min="2" max="2"/>
    <col width="12" customWidth="1" style="102" min="3" max="3"/>
    <col width="11.6640625" customWidth="1" style="102" min="4" max="4"/>
    <col width="12" customWidth="1" style="102" min="5" max="5"/>
    <col width="6.109375" customWidth="1" style="102" min="6" max="6"/>
    <col width="5.6640625" customWidth="1" style="102" min="7" max="7"/>
    <col width="6.109375" customWidth="1" style="102" min="8" max="8"/>
    <col width="8.109375" customWidth="1" style="102" min="9" max="9"/>
    <col width="5.6640625" customWidth="1" style="102" min="10" max="10"/>
    <col width="6" customWidth="1" style="102" min="11" max="11"/>
    <col width="6.33203125" customWidth="1" style="102" min="12" max="12"/>
    <col width="5.6640625" customWidth="1" style="102" min="13" max="13"/>
    <col width="14.88671875" customWidth="1" style="102" min="14" max="14"/>
    <col width="12.6640625" customWidth="1" style="102" min="17" max="17"/>
    <col width="10.44140625" customWidth="1" style="102" min="18" max="18"/>
    <col width="34.6640625" customWidth="1" style="102" min="19" max="19"/>
    <col width="23.6640625" customWidth="1" style="102" min="20" max="20"/>
    <col width="20.109375" customWidth="1" style="102" min="21" max="21"/>
    <col width="6" customWidth="1" style="102" min="22" max="22"/>
  </cols>
  <sheetData>
    <row r="1" ht="15" customHeight="1" s="102">
      <c r="B1" s="108" t="inlineStr">
        <is>
          <t>BRENTWOOD PARK - BURNABY NORTH</t>
        </is>
      </c>
    </row>
    <row r="2" ht="14.4" customHeight="1" s="102">
      <c r="A2" s="13" t="n"/>
      <c r="B2" s="3" t="inlineStr">
        <is>
          <t>Subject Property</t>
        </is>
      </c>
      <c r="C2" s="4" t="inlineStr">
        <is>
          <t>Expiry</t>
        </is>
      </c>
      <c r="D2" s="6" t="inlineStr">
        <is>
          <t>List</t>
        </is>
      </c>
      <c r="E2" s="6" t="inlineStr">
        <is>
          <t>L.Date</t>
        </is>
      </c>
      <c r="F2" s="6" t="inlineStr">
        <is>
          <t>DOM</t>
        </is>
      </c>
      <c r="G2" s="7" t="inlineStr">
        <is>
          <t>List#</t>
        </is>
      </c>
      <c r="H2" s="8" t="inlineStr">
        <is>
          <t>Build</t>
        </is>
      </c>
      <c r="I2" s="9" t="inlineStr">
        <is>
          <t>Lot Size</t>
        </is>
      </c>
      <c r="J2" s="9" t="inlineStr">
        <is>
          <t>Bed</t>
        </is>
      </c>
      <c r="K2" s="9" t="inlineStr">
        <is>
          <t>Bath</t>
        </is>
      </c>
      <c r="L2" s="8" t="inlineStr">
        <is>
          <t>Sqft</t>
        </is>
      </c>
      <c r="M2" s="9" t="inlineStr">
        <is>
          <t>Kitch</t>
        </is>
      </c>
      <c r="N2" s="110" t="inlineStr">
        <is>
          <t>Land</t>
        </is>
      </c>
      <c r="O2" s="117" t="inlineStr">
        <is>
          <t>Total ASS</t>
        </is>
      </c>
      <c r="P2" s="9" t="inlineStr">
        <is>
          <t>D.EXP</t>
        </is>
      </c>
      <c r="Q2" s="9" t="inlineStr">
        <is>
          <t>Contact</t>
        </is>
      </c>
      <c r="R2" s="9" t="inlineStr">
        <is>
          <t>ML#</t>
        </is>
      </c>
      <c r="S2" s="9" t="inlineStr">
        <is>
          <t>NAME</t>
        </is>
      </c>
      <c r="T2" s="9" t="inlineStr">
        <is>
          <t>ADDRESS1</t>
        </is>
      </c>
      <c r="U2" s="9" t="inlineStr">
        <is>
          <t>ADDRESS2</t>
        </is>
      </c>
      <c r="V2" s="9" t="inlineStr">
        <is>
          <t>OCCUP</t>
        </is>
      </c>
    </row>
    <row r="3" ht="14.4" customHeight="1" s="102">
      <c r="A3" s="13" t="n"/>
      <c r="B3" s="46" t="inlineStr">
        <is>
          <t>EXPIRED:</t>
        </is>
      </c>
      <c r="C3" s="47">
        <f>"Date Range: " &amp; TEXT(TODAY()-30, "MMMM DD, YYYY") &amp; " - " &amp; TEXT(TODAY(), "MMMM DD, YYYY") &amp; " (LAST 30 DAYS)"</f>
        <v/>
      </c>
      <c r="D3" s="38" t="n"/>
      <c r="E3" s="38" t="n"/>
      <c r="F3" s="38" t="n"/>
      <c r="G3" s="38" t="n"/>
      <c r="H3" s="48" t="n"/>
      <c r="I3" s="48" t="n"/>
    </row>
    <row r="4" ht="14.4" customHeight="1" s="102">
      <c r="A4" s="13">
        <f>IF(B4="","-",IF(COUNTIF(E.DETACHED!B:B,B4)+COUNTIF('A.S.PRINTOUT'!B:B,B4)&gt;1,COUNTIF(E.DETACHED!B:B,B4)+COUNTIF('A.S.PRINTOUT'!B:B,B4)-1,"-"))</f>
        <v/>
      </c>
      <c r="B4" t="inlineStr">
        <is>
          <t>4645 BRENTLAWN DRIVE</t>
        </is>
      </c>
      <c r="C4" s="24" t="n">
        <v>46112</v>
      </c>
      <c r="D4" s="113" t="n">
        <v>4000000</v>
      </c>
      <c r="E4" s="122" t="n">
        <v>45736</v>
      </c>
      <c r="F4" t="n">
        <v>377</v>
      </c>
      <c r="H4" t="n">
        <v>1954</v>
      </c>
      <c r="I4" t="n">
        <v>6466</v>
      </c>
      <c r="J4" t="n">
        <v>4</v>
      </c>
      <c r="K4" s="21" t="n">
        <v>4</v>
      </c>
      <c r="L4" s="101" t="n">
        <v>2024</v>
      </c>
      <c r="M4" t="n">
        <v>3</v>
      </c>
      <c r="N4" s="44" t="n">
        <v>1789000</v>
      </c>
      <c r="O4" s="44" t="n">
        <v>1899000</v>
      </c>
      <c r="P4" s="44" t="inlineStr">
        <is>
          <t>Expired</t>
        </is>
      </c>
      <c r="Q4" s="101" t="n"/>
      <c r="R4" s="49" t="inlineStr">
        <is>
          <t>R2980434,</t>
        </is>
      </c>
      <c r="S4" s="19" t="n"/>
      <c r="V4" s="21" t="n"/>
    </row>
    <row r="5" ht="14.4" customHeight="1" s="102">
      <c r="A5" s="13">
        <f>IF(B5="","-",IF(COUNTIF(E.DETACHED!B:B,B5)+COUNTIF('A.S.PRINTOUT'!B:B,B5)&gt;1,COUNTIF(E.DETACHED!B:B,B5)+COUNTIF('A.S.PRINTOUT'!B:B,B5)-1,"-"))</f>
        <v/>
      </c>
      <c r="C5" s="24" t="n"/>
      <c r="D5" s="113" t="n"/>
      <c r="K5" s="21" t="n"/>
      <c r="L5" s="101" t="n"/>
      <c r="N5" s="44" t="n"/>
      <c r="O5" s="44" t="n"/>
      <c r="P5" s="44" t="n"/>
      <c r="Q5" s="101" t="n"/>
      <c r="R5" s="49" t="n"/>
      <c r="S5" s="19" t="n"/>
      <c r="V5" s="21" t="n"/>
    </row>
    <row r="6" ht="14.4" customHeight="1" s="102">
      <c r="A6" s="13">
        <f>IF(B6="","-",IF(COUNTIF(E.DETACHED!B:B,B6)+COUNTIF('A.S.PRINTOUT'!B:B,B6)&gt;1,COUNTIF(E.DETACHED!B:B,B6)+COUNTIF('A.S.PRINTOUT'!B:B,B6)-1,"-"))</f>
        <v/>
      </c>
      <c r="C6" s="24" t="n"/>
      <c r="D6" s="113" t="n"/>
      <c r="K6" s="21" t="n"/>
      <c r="L6" s="101" t="n"/>
      <c r="N6" s="44" t="n"/>
      <c r="O6" s="44" t="n"/>
      <c r="P6" s="44" t="n"/>
      <c r="Q6" s="101" t="n"/>
      <c r="R6" s="49" t="n"/>
      <c r="S6" s="19" t="n"/>
      <c r="V6" s="21" t="n"/>
    </row>
    <row r="7" ht="14.4" customHeight="1" s="102">
      <c r="A7" s="13">
        <f>IF(B7="","-",IF(COUNTIF(E.DETACHED!B:B,B7)+COUNTIF('A.S.PRINTOUT'!B:B,B7)&gt;1,COUNTIF(E.DETACHED!B:B,B7)+COUNTIF('A.S.PRINTOUT'!B:B,B7)-1,"-"))</f>
        <v/>
      </c>
      <c r="B7" s="44" t="n"/>
      <c r="C7" s="101" t="n"/>
      <c r="D7" s="44" t="n"/>
      <c r="K7" s="101" t="n"/>
      <c r="L7" s="101" t="n"/>
      <c r="N7" s="44" t="n"/>
      <c r="O7" s="44" t="n"/>
      <c r="P7" s="44" t="n"/>
      <c r="Q7" s="101" t="n"/>
      <c r="R7" s="44" t="n"/>
      <c r="S7" s="44" t="n"/>
      <c r="T7" s="101" t="n"/>
      <c r="U7" s="101" t="n"/>
      <c r="V7" s="101" t="n"/>
    </row>
    <row r="8" ht="14.4" customHeight="1" s="102">
      <c r="A8" s="13">
        <f>IF(B8="","-",IF(COUNTIF(E.DETACHED!B:B,B8)+COUNTIF('A.S.PRINTOUT'!B:B,B8)&gt;1,COUNTIF(E.DETACHED!B:B,B8)+COUNTIF('A.S.PRINTOUT'!B:B,B8)-1,"-"))</f>
        <v/>
      </c>
      <c r="B8" s="44" t="n"/>
      <c r="C8" s="101" t="n"/>
      <c r="D8" s="44" t="n"/>
      <c r="K8" s="101" t="n"/>
      <c r="L8" s="101" t="n"/>
      <c r="N8" s="44" t="n"/>
      <c r="O8" s="44" t="n"/>
      <c r="P8" s="44" t="n"/>
      <c r="Q8" s="101" t="n"/>
      <c r="R8" s="44" t="n"/>
      <c r="S8" s="44" t="n"/>
      <c r="T8" s="101" t="n"/>
      <c r="U8" s="101" t="n"/>
      <c r="V8" s="101" t="n"/>
    </row>
    <row r="9" ht="14.4" customHeight="1" s="102">
      <c r="A9" s="13" t="n"/>
      <c r="B9" s="3" t="inlineStr">
        <is>
          <t>Subject Property</t>
        </is>
      </c>
      <c r="C9" s="4" t="inlineStr">
        <is>
          <t>Expiry</t>
        </is>
      </c>
      <c r="D9" s="6" t="inlineStr">
        <is>
          <t>List</t>
        </is>
      </c>
      <c r="E9" s="6" t="inlineStr">
        <is>
          <t>L.Date</t>
        </is>
      </c>
      <c r="F9" s="6" t="inlineStr">
        <is>
          <t>DOM</t>
        </is>
      </c>
      <c r="G9" s="7" t="inlineStr">
        <is>
          <t>List#</t>
        </is>
      </c>
      <c r="H9" s="8" t="inlineStr">
        <is>
          <t>Build</t>
        </is>
      </c>
      <c r="I9" s="9" t="inlineStr">
        <is>
          <t>Lot Size</t>
        </is>
      </c>
      <c r="J9" s="9" t="inlineStr">
        <is>
          <t>Bed</t>
        </is>
      </c>
      <c r="K9" s="9" t="inlineStr">
        <is>
          <t>Bath</t>
        </is>
      </c>
      <c r="L9" s="8" t="inlineStr">
        <is>
          <t>Sqft</t>
        </is>
      </c>
      <c r="M9" s="9" t="inlineStr">
        <is>
          <t>Kitch</t>
        </is>
      </c>
      <c r="N9" s="110" t="inlineStr">
        <is>
          <t>Land</t>
        </is>
      </c>
      <c r="O9" s="117" t="inlineStr">
        <is>
          <t>Total ASS</t>
        </is>
      </c>
      <c r="P9" s="9" t="inlineStr">
        <is>
          <t>D.EXP</t>
        </is>
      </c>
      <c r="Q9" s="9" t="inlineStr">
        <is>
          <t>Contact</t>
        </is>
      </c>
      <c r="R9" s="9" t="inlineStr">
        <is>
          <t>ML#</t>
        </is>
      </c>
      <c r="S9" s="9" t="inlineStr">
        <is>
          <t>NAME</t>
        </is>
      </c>
      <c r="T9" s="9" t="inlineStr">
        <is>
          <t>ADDRESS1</t>
        </is>
      </c>
      <c r="U9" s="9" t="inlineStr">
        <is>
          <t>ADDRESS2</t>
        </is>
      </c>
      <c r="V9" s="9" t="inlineStr">
        <is>
          <t>OCCUP</t>
        </is>
      </c>
      <c r="W9" s="9" t="inlineStr">
        <is>
          <t>Notes</t>
        </is>
      </c>
    </row>
    <row r="10" ht="14.4" customHeight="1" s="102">
      <c r="A10" s="13" t="n"/>
      <c r="B10" s="46" t="inlineStr">
        <is>
          <t>EXPIRED:</t>
        </is>
      </c>
      <c r="C10" s="47">
        <f>"Date Range: " &amp; "December 31 2014" &amp;  " - " &amp; TEXT(TODAY()-30, "MMMM DD, YYYY")</f>
        <v/>
      </c>
      <c r="D10" s="48" t="n"/>
      <c r="E10" s="48" t="n"/>
      <c r="F10" s="48" t="n"/>
      <c r="G10" s="48" t="n"/>
      <c r="H10" s="48" t="n"/>
      <c r="I10" s="48" t="n"/>
      <c r="K10" s="21" t="n"/>
      <c r="L10" s="21" t="n"/>
      <c r="R10" s="123" t="n"/>
      <c r="S10" s="21" t="n"/>
      <c r="T10" s="19" t="n"/>
      <c r="U10" s="19" t="n"/>
      <c r="V10" s="21" t="n"/>
    </row>
    <row r="11" ht="14.4" customHeight="1" s="102">
      <c r="A11" s="13">
        <f>IF(B11="","-",IF(COUNTIF(E.DETACHED!B:B,B11)+COUNTIF('A.S.PRINTOUT'!B:B,B11)&gt;1,COUNTIF(E.DETACHED!B:B,B11)+COUNTIF('A.S.PRINTOUT'!B:B,B11)-1,"-"))</f>
        <v/>
      </c>
      <c r="B11" s="33" t="inlineStr">
        <is>
          <t>1740 BETA AVENUE</t>
        </is>
      </c>
      <c r="C11" s="31" t="inlineStr">
        <is>
          <t>5/15/2023</t>
        </is>
      </c>
      <c r="D11" s="115" t="n">
        <v>2799999</v>
      </c>
      <c r="K11" s="21" t="n"/>
      <c r="L11" s="21" t="n"/>
      <c r="N11" s="19" t="n"/>
      <c r="O11" s="19" t="n"/>
      <c r="P11" s="19" t="n"/>
      <c r="Q11" s="19" t="inlineStr">
        <is>
          <t>F - 03.25.25</t>
        </is>
      </c>
      <c r="R11" s="51" t="inlineStr">
        <is>
          <t>R2752689,</t>
        </is>
      </c>
      <c r="S11" s="33" t="inlineStr">
        <is>
          <t>GI HOON YU | SOYON LEE | KANGHUN LEE</t>
        </is>
      </c>
      <c r="T11" s="33" t="inlineStr">
        <is>
          <t>1740 BETA AVENUE</t>
        </is>
      </c>
      <c r="U11" s="19" t="inlineStr">
        <is>
          <t>BURNABY BC V5C 5M7</t>
        </is>
      </c>
      <c r="V11" s="21" t="inlineStr">
        <is>
          <t>V</t>
        </is>
      </c>
    </row>
    <row r="12" ht="14.4" customHeight="1" s="102">
      <c r="A12" s="13">
        <f>IF(B12="","-",IF(COUNTIF(E.DETACHED!B:B,B12)+COUNTIF('A.S.PRINTOUT'!B:B,B12)&gt;1,COUNTIF(E.DETACHED!B:B,B12)+COUNTIF('A.S.PRINTOUT'!B:B,B12)-1,"-"))</f>
        <v/>
      </c>
      <c r="B12" s="33" t="inlineStr">
        <is>
          <t>4508 BRENTLAWN DRIVE</t>
        </is>
      </c>
      <c r="C12" s="31" t="inlineStr">
        <is>
          <t>9/1/2016</t>
        </is>
      </c>
      <c r="D12" s="115" t="n">
        <v>1480000</v>
      </c>
      <c r="K12" s="21" t="n"/>
      <c r="L12" s="21" t="n"/>
      <c r="N12" s="19" t="n"/>
      <c r="O12" s="19" t="n"/>
      <c r="P12" s="19" t="n"/>
      <c r="Q12" s="19" t="inlineStr">
        <is>
          <t>F - 03.25.25</t>
        </is>
      </c>
      <c r="R12" s="51" t="inlineStr">
        <is>
          <t>R2099852,</t>
        </is>
      </c>
      <c r="S12" s="19" t="inlineStr">
        <is>
          <t>Home Owner</t>
        </is>
      </c>
      <c r="T12" s="33" t="inlineStr">
        <is>
          <t>4508 BRENTLAWN DRIVE</t>
        </is>
      </c>
      <c r="U12" s="19" t="inlineStr">
        <is>
          <t>BURNABY BC V5C 3V1</t>
        </is>
      </c>
      <c r="V12" s="21" t="inlineStr">
        <is>
          <t>V</t>
        </is>
      </c>
    </row>
    <row r="13" ht="15.75" customHeight="1" s="102">
      <c r="A13" s="52">
        <f>IF(B13="","-",IF(COUNTIF(E.DETACHED!B:B,B13)+COUNTIF('A.S.PRINTOUT'!B:B,B13)&gt;1,COUNTIF(E.DETACHED!B:B,B13)+COUNTIF('A.S.PRINTOUT'!B:B,B13)-1,"-"))</f>
        <v/>
      </c>
      <c r="B13" s="53" t="inlineStr">
        <is>
          <t>4625 BRENTLAWN DRIVE</t>
        </is>
      </c>
      <c r="C13" s="54" t="inlineStr">
        <is>
          <t>1/31/2023</t>
        </is>
      </c>
      <c r="D13" s="124" t="n">
        <v>1998800</v>
      </c>
      <c r="E13" s="56" t="n"/>
      <c r="F13" s="56" t="n"/>
      <c r="G13" s="56" t="n"/>
      <c r="H13" s="56" t="n"/>
      <c r="I13" s="56" t="n"/>
      <c r="J13" s="56" t="n"/>
      <c r="K13" s="57" t="n"/>
      <c r="L13" s="57" t="n"/>
      <c r="M13" s="56" t="n"/>
      <c r="N13" s="56" t="n"/>
      <c r="O13" s="56" t="n"/>
      <c r="P13" s="56" t="n"/>
      <c r="Q13" s="56" t="n"/>
      <c r="R13" s="58" t="inlineStr">
        <is>
          <t>R2728909,</t>
        </is>
      </c>
      <c r="S13" s="56" t="inlineStr">
        <is>
          <t>Home Owner</t>
        </is>
      </c>
      <c r="T13" s="53" t="inlineStr">
        <is>
          <t>4625 BRENTLAWN DRIVE</t>
        </is>
      </c>
      <c r="U13" s="56" t="inlineStr">
        <is>
          <t>BURNABY BC V5C 3V3</t>
        </is>
      </c>
      <c r="V13" s="57" t="inlineStr">
        <is>
          <t>OT</t>
        </is>
      </c>
      <c r="W13" s="56" t="n"/>
      <c r="X13" s="56" t="n"/>
      <c r="Y13" s="56" t="n"/>
      <c r="Z13" s="56" t="n"/>
      <c r="AA13" s="56" t="n"/>
    </row>
    <row r="14" ht="15.75" customHeight="1" s="102">
      <c r="A14" s="13">
        <f>IF(B14="","-",IF(COUNTIF(E.DETACHED!B:B,B14)+COUNTIF('A.S.PRINTOUT'!B:B,B14)&gt;1,COUNTIF(E.DETACHED!B:B,B14)+COUNTIF('A.S.PRINTOUT'!B:B,B14)-1,"-"))</f>
        <v/>
      </c>
      <c r="B14" s="33" t="inlineStr">
        <is>
          <t>1050 DELTA AVENUE</t>
        </is>
      </c>
      <c r="C14" s="31" t="inlineStr">
        <is>
          <t>5/12/2022</t>
        </is>
      </c>
      <c r="D14" s="115" t="n">
        <v>2398000</v>
      </c>
      <c r="K14" s="21" t="n"/>
      <c r="L14" s="21" t="n"/>
      <c r="N14" s="19" t="n"/>
      <c r="O14" s="19" t="n"/>
      <c r="P14" s="19" t="n"/>
      <c r="Q14" s="19" t="inlineStr">
        <is>
          <t>F - 03.25.25</t>
        </is>
      </c>
      <c r="R14" s="51" t="inlineStr">
        <is>
          <t>R2674452,</t>
        </is>
      </c>
      <c r="S14" s="33" t="inlineStr">
        <is>
          <t>E. PAPALIA</t>
        </is>
      </c>
      <c r="T14" s="33" t="inlineStr">
        <is>
          <t>1050 DELTA AVENUE</t>
        </is>
      </c>
      <c r="U14" s="19" t="inlineStr">
        <is>
          <t>BURNABY BC V5B 3G1</t>
        </is>
      </c>
      <c r="V14" s="21" t="inlineStr">
        <is>
          <t>O</t>
        </is>
      </c>
    </row>
    <row r="15" ht="14.4" customHeight="1" s="102">
      <c r="A15" s="13">
        <f>IF(B15="","-",IF(COUNTIF(E.DETACHED!B:B,B15)+COUNTIF('A.S.PRINTOUT'!B:B,B15)&gt;1,COUNTIF(E.DETACHED!B:B,B15)+COUNTIF('A.S.PRINTOUT'!B:B,B15)-1,"-"))</f>
        <v/>
      </c>
      <c r="B15" s="33" t="inlineStr">
        <is>
          <t>1678 DELTA AVENUE</t>
        </is>
      </c>
      <c r="C15" s="31" t="inlineStr">
        <is>
          <t>6/16/2018</t>
        </is>
      </c>
      <c r="D15" s="115" t="n">
        <v>2380000</v>
      </c>
      <c r="K15" s="21" t="n"/>
      <c r="L15" s="21" t="n"/>
      <c r="N15" s="19" t="n"/>
      <c r="O15" s="19" t="n"/>
      <c r="P15" s="19" t="n"/>
      <c r="Q15" s="19" t="inlineStr">
        <is>
          <t>F - 03.25.25</t>
        </is>
      </c>
      <c r="R15" s="51" t="inlineStr">
        <is>
          <t>R2248669,</t>
        </is>
      </c>
      <c r="S15" s="33" t="inlineStr">
        <is>
          <t>SHAKILA JEYACHANDRAN</t>
        </is>
      </c>
      <c r="T15" s="33" t="inlineStr">
        <is>
          <t>1678 DELTA AVENUE</t>
        </is>
      </c>
      <c r="U15" s="19" t="inlineStr">
        <is>
          <t>BURNABY BC V5B 3G2</t>
        </is>
      </c>
      <c r="V15" s="21" t="inlineStr">
        <is>
          <t>O</t>
        </is>
      </c>
    </row>
    <row r="16" ht="15.75" customHeight="1" s="102">
      <c r="A16" s="13">
        <f>IF(B16="","-",IF(COUNTIF(E.DETACHED!B:B,B16)+COUNTIF('A.S.PRINTOUT'!B:B,B16)&gt;1,COUNTIF(E.DETACHED!B:B,B16)+COUNTIF('A.S.PRINTOUT'!B:B,B16)-1,"-"))</f>
        <v/>
      </c>
      <c r="B16" s="33" t="inlineStr">
        <is>
          <t>4696 FAIRLAWN DRIVE</t>
        </is>
      </c>
      <c r="C16" s="31" t="inlineStr">
        <is>
          <t>8/18/2021</t>
        </is>
      </c>
      <c r="D16" s="115" t="n">
        <v>1749900</v>
      </c>
      <c r="K16" s="21" t="n"/>
      <c r="L16" s="21" t="n"/>
      <c r="N16" s="19" t="n"/>
      <c r="O16" s="19" t="n"/>
      <c r="P16" s="19" t="n"/>
      <c r="Q16" s="19" t="inlineStr">
        <is>
          <t>F - 03.25.25</t>
        </is>
      </c>
      <c r="R16" s="51" t="inlineStr">
        <is>
          <t>R2589225,</t>
        </is>
      </c>
      <c r="S16" s="19" t="inlineStr">
        <is>
          <t>Home Owner</t>
        </is>
      </c>
      <c r="T16" s="33" t="inlineStr">
        <is>
          <t>4696 FAIRLAWN DRIVE</t>
        </is>
      </c>
      <c r="U16" s="19" t="inlineStr">
        <is>
          <t>BURNABY BC V5C 3R6</t>
        </is>
      </c>
      <c r="V16" s="21" t="inlineStr">
        <is>
          <t>O</t>
        </is>
      </c>
    </row>
    <row r="17" ht="15.75" customHeight="1" s="102">
      <c r="A17" s="13">
        <f>IF(B17="","-",IF(COUNTIF(E.DETACHED!B:B,B17)+COUNTIF('A.S.PRINTOUT'!B:B,B17)&gt;1,COUNTIF(E.DETACHED!B:B,B17)+COUNTIF('A.S.PRINTOUT'!B:B,B17)-1,"-"))</f>
        <v/>
      </c>
      <c r="B17" s="33" t="inlineStr">
        <is>
          <t>4824 FAIRLAWN DRIVE</t>
        </is>
      </c>
      <c r="C17" s="31" t="inlineStr">
        <is>
          <t>11/14/2024</t>
        </is>
      </c>
      <c r="D17" s="115" t="n">
        <v>2558000</v>
      </c>
      <c r="K17" s="21" t="n"/>
      <c r="L17" s="21" t="n"/>
      <c r="N17" s="19" t="n"/>
      <c r="O17" s="19" t="n"/>
      <c r="P17" s="19" t="n"/>
      <c r="Q17" s="19" t="inlineStr">
        <is>
          <t>F - 03.25.25</t>
        </is>
      </c>
      <c r="R17" s="51" t="inlineStr">
        <is>
          <t>R2911387,</t>
        </is>
      </c>
      <c r="S17" s="33" t="inlineStr">
        <is>
          <t>PAI LIU</t>
        </is>
      </c>
      <c r="T17" s="33" t="inlineStr">
        <is>
          <t>4824 FAIRLAWN DRIVE</t>
        </is>
      </c>
      <c r="U17" s="19" t="inlineStr">
        <is>
          <t>BURNABY BC V5C 3R8</t>
        </is>
      </c>
      <c r="V17" s="21" t="inlineStr">
        <is>
          <t>OT</t>
        </is>
      </c>
    </row>
    <row r="18" ht="15.75" customHeight="1" s="102">
      <c r="A18" s="13">
        <f>IF(B18="","-",IF(COUNTIF(E.DETACHED!B:B,B18)+COUNTIF('A.S.PRINTOUT'!B:B,B18)&gt;1,COUNTIF(E.DETACHED!B:B,B18)+COUNTIF('A.S.PRINTOUT'!B:B,B18)-1,"-"))</f>
        <v/>
      </c>
      <c r="B18" s="33" t="inlineStr">
        <is>
          <t>5173 HALIFAX STREET</t>
        </is>
      </c>
      <c r="C18" s="31" t="inlineStr">
        <is>
          <t>10/31/2017</t>
        </is>
      </c>
      <c r="D18" s="115" t="n">
        <v>1799000</v>
      </c>
      <c r="K18" s="21" t="n"/>
      <c r="L18" s="21" t="n"/>
      <c r="Q18" s="19" t="inlineStr">
        <is>
          <t>F - 03.25.25</t>
        </is>
      </c>
      <c r="R18" s="51" t="inlineStr">
        <is>
          <t>R2193437,</t>
        </is>
      </c>
      <c r="S18" s="19" t="inlineStr">
        <is>
          <t>Home Owner</t>
        </is>
      </c>
      <c r="T18" s="33" t="inlineStr">
        <is>
          <t>5173 HALIFAX STREET</t>
        </is>
      </c>
      <c r="U18" s="33" t="inlineStr">
        <is>
          <t>Burnaby, BC V5B 2N4</t>
        </is>
      </c>
      <c r="V18" s="21" t="inlineStr">
        <is>
          <t>O</t>
        </is>
      </c>
    </row>
    <row r="19" ht="15" customHeight="1" s="102">
      <c r="A19" s="13">
        <f>IF(B19="","-",IF(COUNTIF(E.DETACHED!B:B,B19)+COUNTIF('A.S.PRINTOUT'!B:B,B19)&gt;1,COUNTIF(E.DETACHED!B:B,B19)+COUNTIF('A.S.PRINTOUT'!B:B,B19)-1,"-"))</f>
        <v/>
      </c>
      <c r="B19" s="33" t="inlineStr">
        <is>
          <t>4631 HIGHLAWN DRIVE</t>
        </is>
      </c>
      <c r="C19" s="31" t="inlineStr">
        <is>
          <t>12/31/2016</t>
        </is>
      </c>
      <c r="D19" s="115" t="n">
        <v>3888000</v>
      </c>
      <c r="K19" s="21" t="n"/>
      <c r="L19" s="21" t="n"/>
      <c r="Q19" s="19" t="inlineStr">
        <is>
          <t>F - 03.25.25</t>
        </is>
      </c>
      <c r="R19" s="51" t="inlineStr">
        <is>
          <t>R2062861,</t>
        </is>
      </c>
      <c r="S19" s="33" t="inlineStr">
        <is>
          <t>M. QUATRANO | V. HRELIA</t>
        </is>
      </c>
      <c r="T19" s="33" t="inlineStr">
        <is>
          <t>4631 HIGHLAWN DRIVE</t>
        </is>
      </c>
      <c r="U19" s="33" t="inlineStr">
        <is>
          <t>Burnaby, BC V5C 3S9</t>
        </is>
      </c>
      <c r="V19" s="21" t="inlineStr">
        <is>
          <t>O</t>
        </is>
      </c>
    </row>
    <row r="20" ht="15.75" customHeight="1" s="102">
      <c r="A20" s="13">
        <f>IF(B20="","-",IF(COUNTIF(E.DETACHED!B:B,B20)+COUNTIF('A.S.PRINTOUT'!B:B,B20)&gt;1,COUNTIF(E.DETACHED!B:B,B20)+COUNTIF('A.S.PRINTOUT'!B:B,B20)-1,"-"))</f>
        <v/>
      </c>
      <c r="B20" s="33" t="inlineStr">
        <is>
          <t>4881 HIGHLAWN DRIVE</t>
        </is>
      </c>
      <c r="C20" s="31" t="inlineStr">
        <is>
          <t>8/20/2024</t>
        </is>
      </c>
      <c r="D20" s="115" t="n">
        <v>1950000</v>
      </c>
      <c r="K20" s="21" t="n"/>
      <c r="L20" s="21" t="n"/>
      <c r="N20" s="19" t="n"/>
      <c r="O20" s="19" t="n"/>
      <c r="P20" s="19" t="n"/>
      <c r="Q20" s="19" t="inlineStr">
        <is>
          <t>F - 03.25.25</t>
        </is>
      </c>
      <c r="R20" s="51" t="inlineStr">
        <is>
          <t>R2914527,</t>
        </is>
      </c>
      <c r="S20" s="33" t="inlineStr">
        <is>
          <t>T. Lin &amp; Y. Yang</t>
        </is>
      </c>
      <c r="T20" s="33" t="inlineStr">
        <is>
          <t>4881 HIGHLAWN DRIVE</t>
        </is>
      </c>
      <c r="U20" s="19" t="inlineStr">
        <is>
          <t>BURNABY BC V5C 3T2</t>
        </is>
      </c>
      <c r="V20" s="21" t="inlineStr">
        <is>
          <t>T</t>
        </is>
      </c>
    </row>
    <row r="21" ht="14.4" customHeight="1" s="102">
      <c r="A21" s="13">
        <f>IF(B21="","-",IF(COUNTIF(E.DETACHED!B:B,B21)+COUNTIF('A.S.PRINTOUT'!B:B,B21)&gt;1,COUNTIF(E.DETACHED!B:B,B21)+COUNTIF('A.S.PRINTOUT'!B:B,B21)-1,"-"))</f>
        <v/>
      </c>
      <c r="B21" s="19" t="inlineStr">
        <is>
          <t>4606 MIDLAWN DRIVE</t>
        </is>
      </c>
      <c r="C21" s="59" t="n">
        <v>45859</v>
      </c>
      <c r="D21" s="113" t="n">
        <v>7800000</v>
      </c>
      <c r="K21" s="21" t="n"/>
      <c r="L21" s="101" t="n"/>
      <c r="N21" s="44" t="n"/>
      <c r="O21" s="44" t="n"/>
      <c r="P21" s="44" t="n"/>
      <c r="Q21" s="101" t="n"/>
      <c r="R21" s="49" t="inlineStr">
        <is>
          <t>R2951904,</t>
        </is>
      </c>
      <c r="S21" s="19" t="inlineStr">
        <is>
          <t>HAN YUN YAN | SHAO BIN ZHANG</t>
        </is>
      </c>
      <c r="T21" s="19" t="inlineStr">
        <is>
          <t>4606 MIDLAWN DRIVE</t>
        </is>
      </c>
      <c r="U21" s="19" t="inlineStr">
        <is>
          <t>Burnaby, BC V5C 3P6</t>
        </is>
      </c>
      <c r="V21" s="21" t="inlineStr">
        <is>
          <t>O</t>
        </is>
      </c>
    </row>
    <row r="22" ht="15.75" customHeight="1" s="102">
      <c r="A22" s="13">
        <f>IF(B22="","-",IF(COUNTIF(E.DETACHED!B:B,B22)+COUNTIF('A.S.PRINTOUT'!B:B,B22)&gt;1,COUNTIF(E.DETACHED!B:B,B22)+COUNTIF('A.S.PRINTOUT'!B:B,B22)-1,"-"))</f>
        <v/>
      </c>
      <c r="B22" s="33" t="inlineStr">
        <is>
          <t>4660 NORTHLAWN DRIVE</t>
        </is>
      </c>
      <c r="C22" s="31" t="inlineStr">
        <is>
          <t>5/29/2022</t>
        </is>
      </c>
      <c r="D22" s="115" t="n">
        <v>2188000</v>
      </c>
      <c r="K22" s="21" t="n"/>
      <c r="L22" s="21" t="n"/>
      <c r="N22" s="19" t="n"/>
      <c r="O22" s="19" t="n"/>
      <c r="P22" s="19" t="n"/>
      <c r="Q22" s="19" t="inlineStr">
        <is>
          <t>F - 03.25.25</t>
        </is>
      </c>
      <c r="R22" s="51" t="inlineStr">
        <is>
          <t>R2637059,</t>
        </is>
      </c>
      <c r="S22" s="33" t="inlineStr">
        <is>
          <t>Shuming WANG &amp; Weiwei WANG</t>
        </is>
      </c>
      <c r="T22" s="33" t="inlineStr">
        <is>
          <t>4660 NORTHLAWN DRIVE</t>
        </is>
      </c>
      <c r="U22" s="19" t="inlineStr">
        <is>
          <t>BURNABY BC V5C 3S1</t>
        </is>
      </c>
      <c r="V22" s="21" t="inlineStr">
        <is>
          <t>T</t>
        </is>
      </c>
    </row>
    <row r="23" ht="15.75" customHeight="1" s="102">
      <c r="A23" s="13">
        <f>IF(B23="","-",IF(COUNTIF(E.DETACHED!B:B,B23)+COUNTIF('A.S.PRINTOUT'!B:B,B23)&gt;1,COUNTIF(E.DETACHED!B:B,B23)+COUNTIF('A.S.PRINTOUT'!B:B,B23)-1,"-"))</f>
        <v/>
      </c>
      <c r="B23" s="33" t="inlineStr">
        <is>
          <t>4825 NORTHLAWN DRIVE</t>
        </is>
      </c>
      <c r="C23" s="31" t="inlineStr">
        <is>
          <t>10/28/2021</t>
        </is>
      </c>
      <c r="D23" s="115" t="n">
        <v>2800000</v>
      </c>
      <c r="K23" s="21" t="n"/>
      <c r="L23" s="21" t="n"/>
      <c r="N23" s="19" t="n"/>
      <c r="O23" s="19" t="n"/>
      <c r="P23" s="19" t="n"/>
      <c r="Q23" s="19" t="inlineStr">
        <is>
          <t>F - 03.25.25</t>
        </is>
      </c>
      <c r="R23" s="51" t="inlineStr">
        <is>
          <t>R2512957,</t>
        </is>
      </c>
      <c r="S23" s="33" t="inlineStr">
        <is>
          <t>Trung Kiet Do</t>
        </is>
      </c>
      <c r="T23" s="33" t="inlineStr">
        <is>
          <t>4825 NORTHLAWN DRIVE</t>
        </is>
      </c>
      <c r="U23" s="19" t="inlineStr">
        <is>
          <t>BURNABY BC V5C 3S2</t>
        </is>
      </c>
      <c r="V23" s="21" t="inlineStr">
        <is>
          <t>O</t>
        </is>
      </c>
    </row>
    <row r="24" ht="15.75" customHeight="1" s="102">
      <c r="A24" s="13">
        <f>IF(B24="","-",IF(COUNTIF(E.DETACHED!B:B,B24)+COUNTIF('A.S.PRINTOUT'!B:B,B24)&gt;1,COUNTIF(E.DETACHED!B:B,B24)+COUNTIF('A.S.PRINTOUT'!B:B,B24)-1,"-"))</f>
        <v/>
      </c>
      <c r="B24" s="33" t="inlineStr">
        <is>
          <t>4532 PARKER STREET</t>
        </is>
      </c>
      <c r="C24" s="31" t="inlineStr">
        <is>
          <t>9/7/2021</t>
        </is>
      </c>
      <c r="D24" s="115" t="n">
        <v>1890000</v>
      </c>
      <c r="K24" s="21" t="n"/>
      <c r="L24" s="21" t="n"/>
      <c r="N24" s="19" t="n"/>
      <c r="O24" s="19" t="n"/>
      <c r="P24" s="19" t="n"/>
      <c r="Q24" s="19" t="inlineStr">
        <is>
          <t>F - 03.25.25</t>
        </is>
      </c>
      <c r="R24" s="51" t="inlineStr">
        <is>
          <t>R2608888,</t>
        </is>
      </c>
      <c r="S24" s="19" t="inlineStr">
        <is>
          <t>Home Owner</t>
        </is>
      </c>
      <c r="T24" s="33" t="inlineStr">
        <is>
          <t>4532 PARKER STREET</t>
        </is>
      </c>
      <c r="U24" s="19" t="inlineStr">
        <is>
          <t>BURNABY BC V5C 3C9</t>
        </is>
      </c>
      <c r="V24" s="21" t="inlineStr">
        <is>
          <t>OT</t>
        </is>
      </c>
    </row>
    <row r="25" ht="15.75" customHeight="1" s="102">
      <c r="A25" s="13">
        <f>IF(B25="","-",IF(COUNTIF(E.DETACHED!B:B,B25)+COUNTIF('A.S.PRINTOUT'!B:B,B25)&gt;1,COUNTIF(E.DETACHED!B:B,B25)+COUNTIF('A.S.PRINTOUT'!B:B,B25)-1,"-"))</f>
        <v/>
      </c>
      <c r="B25" s="33" t="inlineStr">
        <is>
          <t>4578 PARKER STREET</t>
        </is>
      </c>
      <c r="C25" s="31" t="inlineStr">
        <is>
          <t>4/25/2022</t>
        </is>
      </c>
      <c r="D25" s="115" t="n">
        <v>2499888</v>
      </c>
      <c r="K25" s="21" t="n"/>
      <c r="L25" s="21" t="n"/>
      <c r="N25" s="19" t="n"/>
      <c r="O25" s="19" t="n"/>
      <c r="P25" s="19" t="n"/>
      <c r="Q25" s="19" t="inlineStr">
        <is>
          <t>F - 03.25.25</t>
        </is>
      </c>
      <c r="R25" s="51" t="inlineStr">
        <is>
          <t>R2571778,</t>
        </is>
      </c>
      <c r="S25" s="19" t="inlineStr">
        <is>
          <t>Home Owner</t>
        </is>
      </c>
      <c r="T25" s="33" t="inlineStr">
        <is>
          <t>4578 PARKER STREET</t>
        </is>
      </c>
      <c r="U25" s="19" t="inlineStr">
        <is>
          <t>BURNABY BC V5C 3C9</t>
        </is>
      </c>
      <c r="V25" s="21" t="inlineStr">
        <is>
          <t>O</t>
        </is>
      </c>
    </row>
    <row r="26" ht="15.75" customHeight="1" s="102">
      <c r="A26" s="13">
        <f>IF(B26="","-",IF(COUNTIF(E.DETACHED!B:B,B26)+COUNTIF('A.S.PRINTOUT'!B:B,B26)&gt;1,COUNTIF(E.DETACHED!B:B,B26)+COUNTIF('A.S.PRINTOUT'!B:B,B26)-1,"-"))</f>
        <v/>
      </c>
      <c r="B26" s="33" t="inlineStr">
        <is>
          <t>4764 PARKER STREET</t>
        </is>
      </c>
      <c r="C26" s="31" t="inlineStr">
        <is>
          <t>10/7/2022</t>
        </is>
      </c>
      <c r="D26" s="115" t="n">
        <v>2088000</v>
      </c>
      <c r="K26" s="21" t="n"/>
      <c r="L26" s="21" t="n"/>
      <c r="N26" s="19" t="n"/>
      <c r="O26" s="19" t="n"/>
      <c r="P26" s="19" t="n"/>
      <c r="Q26" s="19" t="inlineStr">
        <is>
          <t>F - 03.25.25</t>
        </is>
      </c>
      <c r="R26" s="51" t="inlineStr">
        <is>
          <t>R2708274,</t>
        </is>
      </c>
      <c r="S26" s="19" t="inlineStr">
        <is>
          <t>Home Owner</t>
        </is>
      </c>
      <c r="T26" s="33" t="inlineStr">
        <is>
          <t>4764 PARKER STREET</t>
        </is>
      </c>
      <c r="U26" s="19" t="inlineStr">
        <is>
          <t>BURNABY BC V5C 3E3</t>
        </is>
      </c>
      <c r="V26" s="21" t="inlineStr">
        <is>
          <t>O</t>
        </is>
      </c>
    </row>
    <row r="27" ht="15.75" customHeight="1" s="102">
      <c r="A27" s="13">
        <f>IF(B27="","-",IF(COUNTIF(E.DETACHED!B:B,B27)+COUNTIF('A.S.PRINTOUT'!B:B,B27)&gt;1,COUNTIF(E.DETACHED!B:B,B27)+COUNTIF('A.S.PRINTOUT'!B:B,B27)-1,"-"))</f>
        <v/>
      </c>
      <c r="B27" s="19" t="inlineStr">
        <is>
          <t>4840 PARKER STREET</t>
        </is>
      </c>
      <c r="C27" s="19" t="inlineStr">
        <is>
          <t>9/30/2025</t>
        </is>
      </c>
      <c r="D27" s="113" t="n">
        <v>1990000</v>
      </c>
      <c r="E27" s="31" t="inlineStr">
        <is>
          <t>7/24/2024</t>
        </is>
      </c>
      <c r="F27" s="22">
        <f>IF(E27="","",MAX(0, TODAY() -
  IF(ISNUMBER(E27),
     E27,
     IFERROR(
        DATEVALUE(SUBSTITUTE(E27,CHAR(160)," ")),
        DATE(VALUE(RIGHT(E27,4)),
             VALUE(LEFT(E27,FIND("/",E27)-1)),
             VALUE(MID(E27,FIND("/",E27)+1, FIND("/",E27, FIND("/",E27)+1)-FIND("/",E27)-1))
        )
     )
  )
))</f>
        <v/>
      </c>
      <c r="G27" s="21" t="n">
        <v>1</v>
      </c>
      <c r="H27" s="21" t="n">
        <v>1960</v>
      </c>
      <c r="I27" s="21" t="n">
        <v>6100</v>
      </c>
      <c r="J27" s="21" t="n">
        <v>2</v>
      </c>
      <c r="K27" s="21" t="n">
        <v>2</v>
      </c>
      <c r="L27" s="22" t="n">
        <v>2240</v>
      </c>
      <c r="M27" s="21" t="n">
        <v>1</v>
      </c>
      <c r="N27" s="115" t="n">
        <v>1724000</v>
      </c>
      <c r="O27" s="115" t="n">
        <v>1775500</v>
      </c>
      <c r="P27" s="30">
        <f>IF(TRIM(C27)="","",
 IFERROR(
  IF(
    DATE(
      VALUE(RIGHT(TRIM(C27),4)),
      VALUE(LEFT(TRIM(C27),FIND("/",TRIM(C27))-1)),
      VALUE(MID(TRIM(C27),FIND("/",TRIM(C27))+1,
                FIND("/",TRIM(C27),FIND("/",TRIM(C27))+1)-FIND("/",TRIM(C27))-1))
    ) &lt; TODAY(),
    "Expired",
    DATE(
      VALUE(RIGHT(TRIM(C27),4)),
      VALUE(LEFT(TRIM(C27),FIND("/",TRIM(C27))-1)),
      VALUE(MID(TRIM(C27),FIND("/",TRIM(C27))+1,
                FIND("/",TRIM(C27),FIND("/",TRIM(C27))+1)-FIND("/",TRIM(C27))-1))
    ) - TODAY()
  ),
  ""
 )
)</f>
        <v/>
      </c>
      <c r="Q27" s="19" t="n"/>
      <c r="R27" s="51" t="inlineStr">
        <is>
          <t>R2909143,</t>
        </is>
      </c>
      <c r="S27" s="19" t="inlineStr">
        <is>
          <t>VANI MAN | VINCENT LAI</t>
        </is>
      </c>
      <c r="T27" s="19" t="inlineStr">
        <is>
          <t>4840 PARKER STREET</t>
        </is>
      </c>
      <c r="U27" s="19" t="inlineStr">
        <is>
          <t>BURNABY, BC V5C 3E3</t>
        </is>
      </c>
      <c r="V27" s="21" t="inlineStr">
        <is>
          <t>V</t>
        </is>
      </c>
    </row>
    <row r="28" ht="15.75" customHeight="1" s="102">
      <c r="A28" s="13">
        <f>IF(B28="","-",IF(COUNTIF(E.DETACHED!B:B,B28)+COUNTIF('A.S.PRINTOUT'!B:B,B28)&gt;1,COUNTIF(E.DETACHED!B:B,B28)+COUNTIF('A.S.PRINTOUT'!B:B,B28)-1,"-"))</f>
        <v/>
      </c>
      <c r="B28" s="33" t="inlineStr">
        <is>
          <t>4915 PARKER STREET</t>
        </is>
      </c>
      <c r="C28" s="31" t="inlineStr">
        <is>
          <t>12/30/2018</t>
        </is>
      </c>
      <c r="D28" s="115" t="n">
        <v>1648800</v>
      </c>
      <c r="K28" s="21" t="n"/>
      <c r="L28" s="21" t="n"/>
      <c r="N28" s="19" t="n"/>
      <c r="O28" s="19" t="n"/>
      <c r="P28" s="19" t="n"/>
      <c r="Q28" s="19" t="inlineStr">
        <is>
          <t>F - 03.25.25</t>
        </is>
      </c>
      <c r="R28" s="51" t="inlineStr">
        <is>
          <t>R2264729,</t>
        </is>
      </c>
      <c r="S28" s="19" t="inlineStr">
        <is>
          <t>Home Owner</t>
        </is>
      </c>
      <c r="T28" s="33" t="inlineStr">
        <is>
          <t>4915 PARKER STREET</t>
        </is>
      </c>
      <c r="U28" s="19" t="inlineStr">
        <is>
          <t>BURNABY BC V5B 1Z5</t>
        </is>
      </c>
      <c r="V28" s="21" t="inlineStr">
        <is>
          <t>O</t>
        </is>
      </c>
    </row>
    <row r="29" ht="15.75" customHeight="1" s="102">
      <c r="A29" s="13">
        <f>IF(B29="","-",IF(COUNTIF(E.DETACHED!B:B,B29)+COUNTIF('A.S.PRINTOUT'!B:B,B29)&gt;1,COUNTIF(E.DETACHED!B:B,B29)+COUNTIF('A.S.PRINTOUT'!B:B,B29)-1,"-"))</f>
        <v/>
      </c>
      <c r="B29" s="33" t="inlineStr">
        <is>
          <t>5190 PARKER STREET</t>
        </is>
      </c>
      <c r="C29" s="31" t="inlineStr">
        <is>
          <t>3/31/2019</t>
        </is>
      </c>
      <c r="D29" s="115" t="n">
        <v>1399000</v>
      </c>
      <c r="K29" s="21" t="n"/>
      <c r="L29" s="21" t="n"/>
      <c r="N29" s="19" t="n"/>
      <c r="O29" s="19" t="n"/>
      <c r="P29" s="19" t="n"/>
      <c r="Q29" s="19" t="inlineStr">
        <is>
          <t>F - 03.25.25</t>
        </is>
      </c>
      <c r="R29" s="51" t="inlineStr">
        <is>
          <t>R2310986,</t>
        </is>
      </c>
      <c r="S29" s="19" t="inlineStr">
        <is>
          <t>Home Owner</t>
        </is>
      </c>
      <c r="T29" s="33" t="inlineStr">
        <is>
          <t>5190 PARKER STREET</t>
        </is>
      </c>
      <c r="U29" s="19" t="inlineStr">
        <is>
          <t>BURNABY BC V5B 1Z6</t>
        </is>
      </c>
      <c r="V29" s="21" t="inlineStr">
        <is>
          <t>O</t>
        </is>
      </c>
    </row>
    <row r="30" ht="15.75" customHeight="1" s="102">
      <c r="A30" s="13">
        <f>IF(B30="","-",IF(COUNTIF(E.DETACHED!B:B,B30)+COUNTIF('A.S.PRINTOUT'!B:B,B30)&gt;1,COUNTIF(E.DETACHED!B:B,B30)+COUNTIF('A.S.PRINTOUT'!B:B,B30)-1,"-"))</f>
        <v/>
      </c>
      <c r="B30" s="33" t="inlineStr">
        <is>
          <t>4801 RIDGELAWN DRIVE</t>
        </is>
      </c>
      <c r="C30" s="31" t="inlineStr">
        <is>
          <t>12/14/2017</t>
        </is>
      </c>
      <c r="D30" s="115" t="n">
        <v>2488000</v>
      </c>
      <c r="K30" s="21" t="n"/>
      <c r="L30" s="21" t="n"/>
      <c r="N30" s="19" t="n"/>
      <c r="O30" s="19" t="n"/>
      <c r="P30" s="19" t="n"/>
      <c r="Q30" s="19" t="inlineStr">
        <is>
          <t>F - 03.25.25</t>
        </is>
      </c>
      <c r="R30" s="51" t="inlineStr">
        <is>
          <t>R2178230,</t>
        </is>
      </c>
      <c r="S30" s="33" t="inlineStr">
        <is>
          <t>PATCHARA SRIKITKUL</t>
        </is>
      </c>
      <c r="T30" s="33" t="inlineStr">
        <is>
          <t>4801 RIDGELAWN DRIVE</t>
        </is>
      </c>
      <c r="U30" s="19" t="inlineStr">
        <is>
          <t>BURNABY BC V5C 3Y1</t>
        </is>
      </c>
      <c r="V30" s="21" t="inlineStr">
        <is>
          <t>O</t>
        </is>
      </c>
    </row>
    <row r="31" ht="15.75" customHeight="1" s="102">
      <c r="A31" s="13">
        <f>IF(B31="","-",IF(COUNTIF(E.DETACHED!B:B,B31)+COUNTIF('A.S.PRINTOUT'!B:B,B31)&gt;1,COUNTIF(E.DETACHED!B:B,B31)+COUNTIF('A.S.PRINTOUT'!B:B,B31)-1,"-"))</f>
        <v/>
      </c>
      <c r="B31" s="33" t="inlineStr">
        <is>
          <t>1333 SPRINGER AVENUE</t>
        </is>
      </c>
      <c r="C31" s="31" t="inlineStr">
        <is>
          <t>5/30/2016</t>
        </is>
      </c>
      <c r="D31" s="115" t="n">
        <v>1588000</v>
      </c>
      <c r="K31" s="21" t="n"/>
      <c r="L31" s="21" t="n"/>
      <c r="Q31" s="19" t="inlineStr">
        <is>
          <t>F - 03.25.25</t>
        </is>
      </c>
      <c r="R31" s="51" t="inlineStr">
        <is>
          <t>R2035899,</t>
        </is>
      </c>
      <c r="S31" s="33" t="inlineStr">
        <is>
          <t>M. MOTEVASELAN</t>
        </is>
      </c>
      <c r="T31" s="33" t="inlineStr">
        <is>
          <t>1333 SPRINGER AVENUE</t>
        </is>
      </c>
      <c r="U31" s="33" t="inlineStr">
        <is>
          <t>Burnaby, BC V5B 3M2</t>
        </is>
      </c>
      <c r="V31" s="21" t="inlineStr">
        <is>
          <t>O</t>
        </is>
      </c>
    </row>
    <row r="32" ht="15.75" customHeight="1" s="102">
      <c r="A32" s="52">
        <f>IF(B32="","-",IF(COUNTIF(E.DETACHED!B:B,B32)+COUNTIF('A.S.PRINTOUT'!B:B,B32)&gt;1,COUNTIF(E.DETACHED!B:B,B32)+COUNTIF('A.S.PRINTOUT'!B:B,B32)-1,"-"))</f>
        <v/>
      </c>
      <c r="B32" s="53" t="inlineStr">
        <is>
          <t>4542 UNION STREET</t>
        </is>
      </c>
      <c r="C32" s="54" t="inlineStr">
        <is>
          <t>2/28/2018</t>
        </is>
      </c>
      <c r="D32" s="124" t="n">
        <v>1898000</v>
      </c>
      <c r="E32" s="56" t="n"/>
      <c r="F32" s="56" t="n"/>
      <c r="G32" s="56" t="n"/>
      <c r="H32" s="56" t="n"/>
      <c r="I32" s="56" t="n"/>
      <c r="J32" s="56" t="n"/>
      <c r="K32" s="57" t="n"/>
      <c r="L32" s="57" t="n"/>
      <c r="M32" s="56" t="n"/>
      <c r="N32" s="56" t="n"/>
      <c r="O32" s="56" t="n"/>
      <c r="P32" s="56" t="n"/>
      <c r="Q32" s="56" t="n"/>
      <c r="R32" s="58" t="inlineStr">
        <is>
          <t>R2204592,</t>
        </is>
      </c>
      <c r="S32" s="53" t="inlineStr">
        <is>
          <t>PARADISE PROPERTIES LTD.</t>
        </is>
      </c>
      <c r="T32" s="53" t="inlineStr">
        <is>
          <t>4542 UNION STREET</t>
        </is>
      </c>
      <c r="U32" s="53" t="inlineStr">
        <is>
          <t>Burnaby, BC V5C 2Y1</t>
        </is>
      </c>
      <c r="V32" s="57" t="inlineStr">
        <is>
          <t>V</t>
        </is>
      </c>
      <c r="W32" s="56" t="n"/>
      <c r="X32" s="56" t="n"/>
      <c r="Y32" s="56" t="n"/>
      <c r="Z32" s="56" t="n"/>
      <c r="AA32" s="56" t="n"/>
    </row>
    <row r="33" ht="15.75" customHeight="1" s="102">
      <c r="A33" s="52">
        <f>IF(B33="","-",IF(COUNTIF(E.DETACHED!B:B,B33)+COUNTIF('A.S.PRINTOUT'!B:B,B33)&gt;1,COUNTIF(E.DETACHED!B:B,B33)+COUNTIF('A.S.PRINTOUT'!B:B,B33)-1,"-"))</f>
        <v/>
      </c>
      <c r="B33" s="56" t="inlineStr">
        <is>
          <t>4890 UNION STREET</t>
        </is>
      </c>
      <c r="C33" s="54" t="inlineStr">
        <is>
          <t>3/7/2021</t>
        </is>
      </c>
      <c r="D33" s="125" t="n">
        <v>1399000</v>
      </c>
      <c r="E33" s="56" t="n"/>
      <c r="F33" s="56" t="n"/>
      <c r="G33" s="56" t="n"/>
      <c r="H33" s="56" t="n"/>
      <c r="I33" s="56" t="n"/>
      <c r="J33" s="56" t="n"/>
      <c r="K33" s="57" t="n"/>
      <c r="L33" s="57" t="n"/>
      <c r="M33" s="56" t="n"/>
      <c r="N33" s="56" t="n"/>
      <c r="O33" s="56" t="n"/>
      <c r="P33" s="56" t="n"/>
      <c r="Q33" s="56" t="n"/>
      <c r="R33" s="61" t="inlineStr">
        <is>
          <t>R2527115,</t>
        </is>
      </c>
      <c r="S33" s="56" t="inlineStr">
        <is>
          <t>Home Owner</t>
        </is>
      </c>
      <c r="T33" s="56" t="inlineStr">
        <is>
          <t>4890 UNION STREET</t>
        </is>
      </c>
      <c r="U33" s="56" t="inlineStr">
        <is>
          <t>BURNABY BC V5C 2Y6</t>
        </is>
      </c>
      <c r="V33" s="57" t="n"/>
      <c r="W33" s="56" t="n"/>
      <c r="X33" s="56" t="n"/>
      <c r="Y33" s="56" t="n"/>
      <c r="Z33" s="56" t="n"/>
      <c r="AA33" s="56" t="n"/>
    </row>
    <row r="34" ht="15.75" customHeight="1" s="102">
      <c r="A34" s="13">
        <f>IF(B34="","-",IF(COUNTIF(E.DETACHED!B:B,B34)+COUNTIF('A.S.PRINTOUT'!B:B,B34)&gt;1,COUNTIF(E.DETACHED!B:B,B34)+COUNTIF('A.S.PRINTOUT'!B:B,B34)-1,"-"))</f>
        <v/>
      </c>
      <c r="B34" s="33" t="inlineStr">
        <is>
          <t>5030 UNION STREET</t>
        </is>
      </c>
      <c r="C34" s="31" t="inlineStr">
        <is>
          <t>2/18/2020</t>
        </is>
      </c>
      <c r="D34" s="115" t="n">
        <v>1880000</v>
      </c>
      <c r="K34" s="21" t="n"/>
      <c r="L34" s="21" t="n"/>
      <c r="Q34" s="19" t="inlineStr">
        <is>
          <t>F - 03.25.25</t>
        </is>
      </c>
      <c r="R34" s="51" t="inlineStr">
        <is>
          <t>R2397711,</t>
        </is>
      </c>
      <c r="S34" s="33" t="inlineStr">
        <is>
          <t>Home Owner</t>
        </is>
      </c>
      <c r="T34" s="33" t="inlineStr">
        <is>
          <t>5030 UNION STREET</t>
        </is>
      </c>
      <c r="U34" s="33" t="inlineStr">
        <is>
          <t>Burnaby, BC V5B 1W2</t>
        </is>
      </c>
      <c r="V34" s="21" t="inlineStr">
        <is>
          <t>OT</t>
        </is>
      </c>
    </row>
    <row r="35" ht="15.75" customHeight="1" s="102">
      <c r="A35" s="13">
        <f>IF(B35="","-",IF(COUNTIF(E.DETACHED!B:B,B35)+COUNTIF('A.S.PRINTOUT'!B:B,B35)&gt;1,COUNTIF(E.DETACHED!B:B,B35)+COUNTIF('A.S.PRINTOUT'!B:B,B35)-1,"-"))</f>
        <v/>
      </c>
      <c r="B35" s="33" t="inlineStr">
        <is>
          <t>4856 VENABLES STREET</t>
        </is>
      </c>
      <c r="C35" s="31" t="inlineStr">
        <is>
          <t>6/30/2021</t>
        </is>
      </c>
      <c r="D35" s="115" t="n">
        <v>2880000</v>
      </c>
      <c r="K35" s="21" t="n"/>
      <c r="L35" s="21" t="n"/>
      <c r="N35" s="19" t="n"/>
      <c r="O35" s="19" t="n"/>
      <c r="P35" s="19" t="n"/>
      <c r="Q35" s="19" t="inlineStr">
        <is>
          <t>F - 03.25.25</t>
        </is>
      </c>
      <c r="R35" s="51" t="inlineStr">
        <is>
          <t>R2548421,</t>
        </is>
      </c>
      <c r="S35" s="19" t="inlineStr">
        <is>
          <t>Home Owner</t>
        </is>
      </c>
      <c r="T35" s="33" t="inlineStr">
        <is>
          <t>4856 VENABLES STREET</t>
        </is>
      </c>
      <c r="U35" s="19" t="inlineStr">
        <is>
          <t>BURNABY BC V5C 3A8</t>
        </is>
      </c>
      <c r="V35" s="21" t="inlineStr">
        <is>
          <t>O</t>
        </is>
      </c>
    </row>
    <row r="36" ht="15.75" customHeight="1" s="102">
      <c r="A36" s="13">
        <f>IF(B36="","-",IF(COUNTIF(E.DETACHED!B:B,B36)+COUNTIF('A.S.PRINTOUT'!B:B,B36)&gt;1,COUNTIF(E.DETACHED!B:B,B36)+COUNTIF('A.S.PRINTOUT'!B:B,B36)-1,"-"))</f>
        <v/>
      </c>
      <c r="B36" s="33" t="inlineStr">
        <is>
          <t>4921 VENABLES STREET</t>
        </is>
      </c>
      <c r="C36" s="31" t="inlineStr">
        <is>
          <t>12/31/2023</t>
        </is>
      </c>
      <c r="D36" s="115" t="n">
        <v>3988000</v>
      </c>
      <c r="K36" s="21" t="n"/>
      <c r="L36" s="21" t="n"/>
      <c r="N36" s="19" t="n"/>
      <c r="O36" s="19" t="n"/>
      <c r="P36" s="19" t="n"/>
      <c r="Q36" s="19" t="inlineStr">
        <is>
          <t>F - 03.25.25</t>
        </is>
      </c>
      <c r="R36" s="51" t="inlineStr">
        <is>
          <t>R2800937,</t>
        </is>
      </c>
      <c r="S36" s="19" t="inlineStr">
        <is>
          <t>Home Owner</t>
        </is>
      </c>
      <c r="T36" s="33" t="inlineStr">
        <is>
          <t>4921 VENABLES STREET</t>
        </is>
      </c>
      <c r="U36" s="19" t="inlineStr">
        <is>
          <t>BURNABY BC V5B 1X8</t>
        </is>
      </c>
      <c r="V36" s="21" t="inlineStr">
        <is>
          <t>O</t>
        </is>
      </c>
    </row>
    <row r="37" ht="15.75" customHeight="1" s="102">
      <c r="A37" s="13">
        <f>IF(B37="","-",IF(COUNTIF(E.DETACHED!B:B,B37)+COUNTIF('A.S.PRINTOUT'!B:B,B37)&gt;1,COUNTIF(E.DETACHED!B:B,B37)+COUNTIF('A.S.PRINTOUT'!B:B,B37)-1,"-"))</f>
        <v/>
      </c>
      <c r="B37" s="53" t="inlineStr">
        <is>
          <t>4699 WESTLAWN DRIVE</t>
        </is>
      </c>
      <c r="C37" s="54" t="inlineStr">
        <is>
          <t>8/31/2021</t>
        </is>
      </c>
      <c r="D37" s="124" t="n">
        <v>1899900</v>
      </c>
      <c r="E37" s="56" t="n"/>
      <c r="F37" s="56" t="n"/>
      <c r="G37" s="56" t="n"/>
      <c r="H37" s="56" t="n"/>
      <c r="I37" s="56" t="n"/>
      <c r="J37" s="56" t="n"/>
      <c r="K37" s="57" t="n"/>
      <c r="L37" s="57" t="n"/>
      <c r="M37" s="56" t="n"/>
      <c r="N37" s="56" t="n"/>
      <c r="O37" s="56" t="n"/>
      <c r="P37" s="56" t="n"/>
      <c r="Q37" s="56" t="n"/>
      <c r="R37" s="58" t="inlineStr">
        <is>
          <t>R2579943,</t>
        </is>
      </c>
      <c r="S37" s="53" t="inlineStr">
        <is>
          <t>Gloria Di Persico &amp; Angelo Di Persico</t>
        </is>
      </c>
      <c r="T37" s="53" t="inlineStr">
        <is>
          <t>4699 WESTLAWN DRIVE</t>
        </is>
      </c>
      <c r="U37" s="56" t="inlineStr">
        <is>
          <t>BURNABY BC V5C 3R2</t>
        </is>
      </c>
      <c r="V37" s="57" t="inlineStr">
        <is>
          <t>O</t>
        </is>
      </c>
      <c r="W37" s="56" t="n"/>
      <c r="X37" s="56" t="n"/>
      <c r="Y37" s="56" t="n"/>
      <c r="Z37" s="56" t="n"/>
      <c r="AA37" s="56" t="n"/>
    </row>
    <row r="38" ht="15.75" customHeight="1" s="102">
      <c r="A38" s="13">
        <f>IF(B38="","-",IF(COUNTIF(E.DETACHED!B:B,B38)+COUNTIF('A.S.PRINTOUT'!B:B,B38)&gt;1,COUNTIF(E.DETACHED!B:B,B38)+COUNTIF('A.S.PRINTOUT'!B:B,B38)-1,"-"))</f>
        <v/>
      </c>
      <c r="B38" s="53" t="inlineStr">
        <is>
          <t>4730 WESTLAWN DRIVE</t>
        </is>
      </c>
      <c r="C38" s="54" t="inlineStr">
        <is>
          <t>5/28/2024</t>
        </is>
      </c>
      <c r="D38" s="124" t="n">
        <v>1799800</v>
      </c>
      <c r="E38" s="56" t="n"/>
      <c r="F38" s="56" t="n"/>
      <c r="G38" s="56" t="n"/>
      <c r="H38" s="56" t="n"/>
      <c r="I38" s="56" t="n"/>
      <c r="J38" s="56" t="n"/>
      <c r="K38" s="57" t="n"/>
      <c r="L38" s="57" t="n"/>
      <c r="M38" s="56" t="n"/>
      <c r="N38" s="56" t="n"/>
      <c r="O38" s="56" t="n"/>
      <c r="P38" s="56" t="n"/>
      <c r="Q38" s="56" t="n"/>
      <c r="R38" s="58" t="inlineStr">
        <is>
          <t>R2883993,</t>
        </is>
      </c>
      <c r="S38" s="53" t="inlineStr">
        <is>
          <t>Home Owner</t>
        </is>
      </c>
      <c r="T38" s="53" t="inlineStr">
        <is>
          <t>4730 WESTLAWN DRIVE</t>
        </is>
      </c>
      <c r="U38" s="56" t="inlineStr">
        <is>
          <t>BURNABY BC V5C 3R3</t>
        </is>
      </c>
      <c r="V38" s="57" t="inlineStr">
        <is>
          <t>T</t>
        </is>
      </c>
      <c r="W38" s="56" t="n"/>
      <c r="X38" s="56" t="n"/>
      <c r="Y38" s="56" t="n"/>
      <c r="Z38" s="56" t="n"/>
      <c r="AA38" s="56" t="n"/>
    </row>
    <row r="39" ht="15.75" customHeight="1" s="102">
      <c r="A39" s="13">
        <f>IF(B39="","-",IF(COUNTIF(E.DETACHED!B:B,B39)+COUNTIF('A.S.PRINTOUT'!B:B,B39)&gt;1,COUNTIF(E.DETACHED!B:B,B39)+COUNTIF('A.S.PRINTOUT'!B:B,B39)-1,"-"))</f>
        <v/>
      </c>
      <c r="B39" s="33" t="inlineStr">
        <is>
          <t>4645 BRENTLAWN DRIVE</t>
        </is>
      </c>
      <c r="C39" s="126" t="n">
        <v>46112</v>
      </c>
      <c r="D39" s="115" t="n">
        <v>4000000</v>
      </c>
      <c r="E39" s="122" t="n">
        <v>45736</v>
      </c>
      <c r="F39" t="n">
        <v>377</v>
      </c>
      <c r="H39" t="n">
        <v>1954</v>
      </c>
      <c r="I39" t="n">
        <v>6466</v>
      </c>
      <c r="J39" t="n">
        <v>4</v>
      </c>
      <c r="K39" s="21" t="n">
        <v>4</v>
      </c>
      <c r="L39" s="21" t="n">
        <v>2024</v>
      </c>
      <c r="M39" t="n">
        <v>3</v>
      </c>
      <c r="N39" t="n">
        <v>1789000</v>
      </c>
      <c r="O39" t="n">
        <v>1899000</v>
      </c>
      <c r="P39" t="n">
        <v>11</v>
      </c>
      <c r="R39" s="19" t="inlineStr">
        <is>
          <t>R2980434,</t>
        </is>
      </c>
      <c r="S39" s="33" t="n"/>
      <c r="T39" s="19" t="n"/>
      <c r="U39" s="19" t="n"/>
      <c r="V39" s="21" t="n"/>
    </row>
    <row r="40" ht="15.75" customHeight="1" s="102">
      <c r="A40" s="13">
        <f>IF(B40="","-",IF(COUNTIF(E.DETACHED!B:B,B40)+COUNTIF('A.S.PRINTOUT'!B:B,B40)&gt;1,COUNTIF(E.DETACHED!B:B,B40)+COUNTIF('A.S.PRINTOUT'!B:B,B40)-1,"-"))</f>
        <v/>
      </c>
      <c r="B40" s="33" t="n"/>
      <c r="C40" s="21" t="n"/>
      <c r="D40" s="19" t="n"/>
      <c r="K40" s="21" t="n"/>
      <c r="L40" s="21" t="n"/>
      <c r="R40" s="19" t="n"/>
      <c r="S40" s="19" t="n"/>
      <c r="T40" s="19" t="n"/>
      <c r="U40" s="19" t="n"/>
      <c r="V40" s="21" t="n"/>
    </row>
    <row r="41" ht="15.75" customHeight="1" s="102">
      <c r="A41" s="13">
        <f>IF(B41="","-",IF(COUNTIF(E.DETACHED!B:B,B41)+COUNTIF('A.S.PRINTOUT'!B:B,B41)&gt;1,COUNTIF(E.DETACHED!B:B,B41)+COUNTIF('A.S.PRINTOUT'!B:B,B41)-1,"-"))</f>
        <v/>
      </c>
      <c r="C41" s="21" t="n"/>
      <c r="D41" s="115" t="n"/>
      <c r="K41" s="21" t="n"/>
      <c r="L41" s="21" t="n"/>
      <c r="R41" s="49" t="n"/>
      <c r="S41" s="33" t="n"/>
      <c r="T41" s="33" t="n"/>
      <c r="U41" s="19" t="n"/>
      <c r="V41" s="21" t="n"/>
    </row>
    <row r="42" ht="15" customHeight="1" s="102">
      <c r="A42" s="13">
        <f>IF(B42="","-",IF(COUNTIF(E.DETACHED!B:B,B42)+COUNTIF('A.S.PRINTOUT'!B:B,B42)&gt;1,COUNTIF(E.DETACHED!B:B,B42)+COUNTIF('A.S.PRINTOUT'!B:B,B42)-1,"-"))</f>
        <v/>
      </c>
      <c r="B42" s="19" t="n"/>
      <c r="C42" s="62" t="n"/>
      <c r="D42" s="19" t="n"/>
      <c r="E42" s="19" t="n"/>
      <c r="K42" s="21" t="n"/>
      <c r="L42" s="21" t="n"/>
      <c r="R42" s="49" t="n"/>
      <c r="S42" s="19" t="n"/>
      <c r="T42" s="19" t="n"/>
      <c r="U42" s="19" t="n"/>
      <c r="V42" s="21" t="n"/>
    </row>
    <row r="43" ht="15.75" customHeight="1" s="102">
      <c r="A43" s="13">
        <f>IF(B43="","-",IF(COUNTIF(E.DETACHED!B:B,B43)+COUNTIF('A.S.PRINTOUT'!B:B,B43)&gt;1,COUNTIF(E.DETACHED!B:B,B43)+COUNTIF('A.S.PRINTOUT'!B:B,B43)-1,"-"))</f>
        <v/>
      </c>
      <c r="C43" s="21" t="n"/>
    </row>
    <row r="44" ht="15.75" customHeight="1" s="102">
      <c r="A44" s="13">
        <f>IF(B44="","-",IF(COUNTIF(E.DETACHED!B:B,B44)+COUNTIF('A.S.PRINTOUT'!B:B,B44)&gt;1,COUNTIF(E.DETACHED!B:B,B44)+COUNTIF('A.S.PRINTOUT'!B:B,B44)-1,"-"))</f>
        <v/>
      </c>
      <c r="C44" s="21" t="n"/>
    </row>
    <row r="45" ht="15.75" customHeight="1" s="102">
      <c r="A45" s="13">
        <f>IF(B45="","-",IF(COUNTIF(E.DETACHED!B:B,B45)+COUNTIF('A.S.PRINTOUT'!B:B,B45)&gt;1,COUNTIF(E.DETACHED!B:B,B45)+COUNTIF('A.S.PRINTOUT'!B:B,B45)-1,"-"))</f>
        <v/>
      </c>
      <c r="C45" s="21" t="n"/>
    </row>
    <row r="46" ht="15.75" customHeight="1" s="102">
      <c r="A46" s="13">
        <f>IF(B46="","-",IF(COUNTIF(E.DETACHED!B:B,B46)+COUNTIF('A.S.PRINTOUT'!B:B,B46)&gt;1,COUNTIF(E.DETACHED!B:B,B46)+COUNTIF('A.S.PRINTOUT'!B:B,B46)-1,"-"))</f>
        <v/>
      </c>
      <c r="C46" s="21" t="n"/>
    </row>
    <row r="47" ht="15.75" customHeight="1" s="102">
      <c r="A47" s="13">
        <f>IF(B47="","-",IF(COUNTIF(E.DETACHED!B:B,B47)+COUNTIF('A.S.PRINTOUT'!B:B,B47)&gt;1,COUNTIF(E.DETACHED!B:B,B47)+COUNTIF('A.S.PRINTOUT'!B:B,B47)-1,"-"))</f>
        <v/>
      </c>
      <c r="C47" s="21" t="n"/>
    </row>
    <row r="48" ht="15.75" customHeight="1" s="102">
      <c r="A48" s="13">
        <f>IF(B48="","-",IF(COUNTIF(E.DETACHED!B:B,B48)+COUNTIF('A.S.PRINTOUT'!B:B,B48)&gt;1,COUNTIF(E.DETACHED!B:B,B48)+COUNTIF('A.S.PRINTOUT'!B:B,B48)-1,"-"))</f>
        <v/>
      </c>
      <c r="C48" s="21" t="n"/>
    </row>
    <row r="49" ht="15.75" customHeight="1" s="102">
      <c r="A49" s="13">
        <f>IF(B49="","-",IF(COUNTIF(E.DETACHED!B:B,B49)+COUNTIF('A.S.PRINTOUT'!B:B,B49)&gt;1,COUNTIF(E.DETACHED!B:B,B49)+COUNTIF('A.S.PRINTOUT'!B:B,B49)-1,"-"))</f>
        <v/>
      </c>
      <c r="C49" s="63" t="n"/>
      <c r="D49" s="127" t="n"/>
      <c r="E49" s="18" t="n"/>
      <c r="K49" s="21" t="n"/>
      <c r="L49" s="21" t="n"/>
      <c r="R49" s="49" t="n"/>
      <c r="T49" s="18" t="n"/>
      <c r="U49" s="65" t="n"/>
      <c r="V49" s="21" t="n"/>
    </row>
    <row r="50" ht="15.75" customHeight="1" s="102">
      <c r="A50" s="13">
        <f>IF(B50="","-",IF(COUNTIF(E.DETACHED!B:B,B50)+COUNTIF('A.S.PRINTOUT'!B:B,B50)&gt;1,COUNTIF(E.DETACHED!B:B,B50)+COUNTIF('A.S.PRINTOUT'!B:B,B50)-1,"-"))</f>
        <v/>
      </c>
      <c r="C50" s="21" t="n"/>
      <c r="D50" s="66" t="n"/>
      <c r="E50" s="67" t="n"/>
      <c r="K50" s="21" t="n"/>
      <c r="L50" s="21" t="n"/>
      <c r="T50" s="67" t="n"/>
      <c r="V50" s="21" t="n"/>
    </row>
    <row r="51" ht="15.75" customHeight="1" s="102">
      <c r="A51" s="13">
        <f>IF(B51="","-",IF(COUNTIF(E.DETACHED!B:B,B51)+COUNTIF('A.S.PRINTOUT'!B:B,B51)&gt;1,COUNTIF(E.DETACHED!B:B,B51)+COUNTIF('A.S.PRINTOUT'!B:B,B51)-1,"-"))</f>
        <v/>
      </c>
      <c r="C51" s="21" t="n"/>
      <c r="D51" s="66" t="n"/>
      <c r="E51" s="67" t="n"/>
      <c r="K51" s="21" t="n"/>
      <c r="L51" s="21" t="n"/>
      <c r="T51" s="67" t="n"/>
      <c r="V51" s="21" t="n"/>
    </row>
    <row r="52" ht="15.75" customHeight="1" s="102">
      <c r="A52" s="13">
        <f>IF(B52="","-",IF(COUNTIF(E.DETACHED!B:B,B52)+COUNTIF('A.S.PRINTOUT'!B:B,B52)&gt;1,COUNTIF(E.DETACHED!B:B,B52)+COUNTIF('A.S.PRINTOUT'!B:B,B52)-1,"-"))</f>
        <v/>
      </c>
      <c r="C52" s="21" t="n"/>
      <c r="D52" s="66" t="n"/>
      <c r="E52" s="67" t="n"/>
      <c r="K52" s="21" t="n"/>
      <c r="L52" s="21" t="n"/>
      <c r="T52" s="67" t="n"/>
      <c r="V52" s="21" t="n"/>
    </row>
    <row r="53" ht="15.75" customHeight="1" s="102">
      <c r="A53" s="13">
        <f>IF(B53="","-",IF(COUNTIF(E.DETACHED!B:B,B53)+COUNTIF('A.S.PRINTOUT'!B:B,B53)&gt;1,COUNTIF(E.DETACHED!B:B,B53)+COUNTIF('A.S.PRINTOUT'!B:B,B53)-1,"-"))</f>
        <v/>
      </c>
      <c r="C53" s="21" t="n"/>
      <c r="D53" s="66" t="n"/>
      <c r="E53" s="67" t="n"/>
      <c r="K53" s="21" t="n"/>
      <c r="L53" s="21" t="n"/>
      <c r="T53" s="67" t="n"/>
      <c r="V53" s="21" t="n"/>
    </row>
    <row r="54" ht="15.75" customHeight="1" s="102">
      <c r="A54" s="13">
        <f>IF(B54="","-",IF(COUNTIF(E.DETACHED!B:B,B54)+COUNTIF('A.S.PRINTOUT'!B:B,B54)&gt;1,COUNTIF(E.DETACHED!B:B,B54)+COUNTIF('A.S.PRINTOUT'!B:B,B54)-1,"-"))</f>
        <v/>
      </c>
      <c r="C54" s="21" t="n"/>
      <c r="D54" s="66" t="n"/>
      <c r="E54" s="67" t="n"/>
      <c r="K54" s="21" t="n"/>
      <c r="L54" s="21" t="n"/>
      <c r="T54" s="67" t="n"/>
      <c r="V54" s="21" t="n"/>
    </row>
    <row r="55" ht="15.75" customHeight="1" s="102">
      <c r="A55" s="13">
        <f>IF(B55="","-",IF(COUNTIF(E.DETACHED!B:B,B55)+COUNTIF('A.S.PRINTOUT'!B:B,B55)&gt;1,COUNTIF(E.DETACHED!B:B,B55)+COUNTIF('A.S.PRINTOUT'!B:B,B55)-1,"-"))</f>
        <v/>
      </c>
      <c r="C55" s="21" t="n"/>
      <c r="D55" s="66" t="n"/>
      <c r="E55" s="67" t="n"/>
      <c r="T55" s="67" t="n"/>
      <c r="V55" s="21" t="n"/>
    </row>
    <row r="56" ht="15.75" customHeight="1" s="102">
      <c r="A56" s="13">
        <f>IF(B56="","-",IF(COUNTIF(E.DETACHED!B:B,B56)+COUNTIF('A.S.PRINTOUT'!B:B,B56)&gt;1,COUNTIF(E.DETACHED!B:B,B56)+COUNTIF('A.S.PRINTOUT'!B:B,B56)-1,"-"))</f>
        <v/>
      </c>
      <c r="C56" s="21" t="n"/>
      <c r="D56" s="66" t="n"/>
      <c r="E56" s="67" t="n"/>
      <c r="T56" s="67" t="n"/>
      <c r="V56" s="21" t="n"/>
    </row>
    <row r="57" ht="15.75" customHeight="1" s="102">
      <c r="A57" s="13">
        <f>IF(B57="","-",IF(COUNTIF(E.DETACHED!B:B,B57)+COUNTIF('A.S.PRINTOUT'!B:B,B57)&gt;1,COUNTIF(E.DETACHED!B:B,B57)+COUNTIF('A.S.PRINTOUT'!B:B,B57)-1,"-"))</f>
        <v/>
      </c>
      <c r="C57" s="21" t="n"/>
      <c r="D57" s="66" t="n"/>
      <c r="E57" s="67" t="n"/>
      <c r="T57" s="67" t="n"/>
      <c r="V57" s="21" t="n"/>
    </row>
    <row r="58" ht="15.75" customHeight="1" s="102">
      <c r="A58" s="13">
        <f>IF(B58="","-",IF(COUNTIF(E.DETACHED!B:B,B58)+COUNTIF('A.S.PRINTOUT'!B:B,B58)&gt;1,COUNTIF(E.DETACHED!B:B,B58)+COUNTIF('A.S.PRINTOUT'!B:B,B58)-1,"-"))</f>
        <v/>
      </c>
      <c r="C58" s="21" t="n"/>
      <c r="D58" s="66" t="n"/>
      <c r="E58" s="67" t="n"/>
      <c r="K58" s="21" t="n"/>
      <c r="T58" s="67" t="n"/>
      <c r="V58" s="21" t="n"/>
    </row>
    <row r="59" ht="15.75" customHeight="1" s="102">
      <c r="A59" s="13">
        <f>IF(B59="","-",IF(COUNTIF(E.DETACHED!B:B,B59)+COUNTIF('A.S.PRINTOUT'!B:B,B59)&gt;1,COUNTIF(E.DETACHED!B:B,B59)+COUNTIF('A.S.PRINTOUT'!B:B,B59)-1,"-"))</f>
        <v/>
      </c>
      <c r="C59" s="21" t="n"/>
      <c r="D59" s="66" t="n"/>
      <c r="E59" s="67" t="n"/>
      <c r="K59" s="21" t="n"/>
      <c r="T59" s="67" t="n"/>
      <c r="V59" s="21" t="n"/>
    </row>
    <row r="60" ht="15.75" customHeight="1" s="102">
      <c r="A60" s="13">
        <f>IF(B60="","-",IF(COUNTIF(E.DETACHED!B:B,B60)+COUNTIF('A.S.PRINTOUT'!B:B,B60)&gt;1,COUNTIF(E.DETACHED!B:B,B60)+COUNTIF('A.S.PRINTOUT'!B:B,B60)-1,"-"))</f>
        <v/>
      </c>
      <c r="C60" s="21" t="n"/>
      <c r="D60" s="66" t="n"/>
      <c r="E60" s="67" t="n"/>
      <c r="K60" s="21" t="n"/>
      <c r="S60" s="21" t="n"/>
      <c r="T60" s="67" t="n"/>
      <c r="V60" s="21" t="n"/>
    </row>
    <row r="61" ht="15.75" customHeight="1" s="102">
      <c r="A61" s="13">
        <f>IF(B61="","-",IF(COUNTIF(E.DETACHED!B:B,B61)+COUNTIF('A.S.PRINTOUT'!B:B,B61)&gt;1,COUNTIF(E.DETACHED!B:B,B61)+COUNTIF('A.S.PRINTOUT'!B:B,B61)-1,"-"))</f>
        <v/>
      </c>
      <c r="C61" s="21" t="n"/>
      <c r="D61" s="66" t="n"/>
      <c r="E61" s="67" t="n"/>
      <c r="K61" s="21" t="n"/>
      <c r="S61" s="21" t="n"/>
      <c r="T61" s="67" t="n"/>
      <c r="V61" s="21" t="n"/>
    </row>
    <row r="62" ht="15.75" customHeight="1" s="102">
      <c r="A62" s="13">
        <f>IF(B62="","-",IF(COUNTIF(E.DETACHED!B:B,B62)+COUNTIF('A.S.PRINTOUT'!B:B,B62)&gt;1,COUNTIF(E.DETACHED!B:B,B62)+COUNTIF('A.S.PRINTOUT'!B:B,B62)-1,"-"))</f>
        <v/>
      </c>
      <c r="C62" s="21" t="n"/>
      <c r="D62" s="66" t="n"/>
      <c r="E62" s="67" t="n"/>
      <c r="K62" s="21" t="n"/>
      <c r="S62" s="21" t="n"/>
      <c r="T62" s="67" t="n"/>
      <c r="V62" s="21" t="n"/>
    </row>
    <row r="63" ht="15.75" customHeight="1" s="102">
      <c r="A63" s="13">
        <f>IF(B63="","-",IF(COUNTIF(E.DETACHED!B:B,B63)+COUNTIF('A.S.PRINTOUT'!B:B,B63)&gt;1,COUNTIF(E.DETACHED!B:B,B63)+COUNTIF('A.S.PRINTOUT'!B:B,B63)-1,"-"))</f>
        <v/>
      </c>
      <c r="C63" s="21" t="n"/>
      <c r="D63" s="66" t="n"/>
      <c r="E63" s="67" t="n"/>
      <c r="K63" s="21" t="n"/>
      <c r="S63" s="21" t="n"/>
      <c r="T63" s="67" t="n"/>
      <c r="V63" s="21" t="n"/>
    </row>
    <row r="64" ht="15.75" customHeight="1" s="102">
      <c r="A64" s="13">
        <f>IF(B64="","-",IF(COUNTIF(E.DETACHED!B:B,B64)+COUNTIF('A.S.PRINTOUT'!B:B,B64)&gt;1,COUNTIF(E.DETACHED!B:B,B64)+COUNTIF('A.S.PRINTOUT'!B:B,B64)-1,"-"))</f>
        <v/>
      </c>
      <c r="C64" s="21" t="n"/>
      <c r="D64" s="66" t="n"/>
      <c r="E64" s="67" t="n"/>
      <c r="K64" s="21" t="n"/>
      <c r="S64" s="21" t="n"/>
      <c r="T64" s="67" t="n"/>
      <c r="V64" s="21" t="n"/>
    </row>
    <row r="65" ht="15.75" customHeight="1" s="102">
      <c r="A65" s="13">
        <f>IF(B65="","-",IF(COUNTIF(E.DETACHED!B:B,B65)+COUNTIF('A.S.PRINTOUT'!B:B,B65)&gt;1,COUNTIF(E.DETACHED!B:B,B65)+COUNTIF('A.S.PRINTOUT'!B:B,B65)-1,"-"))</f>
        <v/>
      </c>
      <c r="C65" s="21" t="n"/>
      <c r="D65" s="66" t="n"/>
      <c r="E65" s="67" t="n"/>
      <c r="K65" s="21" t="n"/>
      <c r="S65" s="21" t="n"/>
      <c r="T65" s="67" t="n"/>
      <c r="V65" s="21" t="n"/>
    </row>
    <row r="66" ht="15.75" customHeight="1" s="102">
      <c r="A66" s="13">
        <f>IF(B66="","-",IF(COUNTIF(E.DETACHED!B:B,B66)+COUNTIF('A.S.PRINTOUT'!B:B,B66)&gt;1,COUNTIF(E.DETACHED!B:B,B66)+COUNTIF('A.S.PRINTOUT'!B:B,B66)-1,"-"))</f>
        <v/>
      </c>
      <c r="C66" s="21" t="n"/>
      <c r="D66" s="66" t="n"/>
      <c r="E66" s="67" t="n"/>
      <c r="K66" s="21" t="n"/>
      <c r="S66" s="21" t="n"/>
      <c r="T66" s="67" t="n"/>
      <c r="V66" s="21" t="n"/>
    </row>
    <row r="67" ht="15.75" customHeight="1" s="102">
      <c r="A67" s="13">
        <f>IF(B67="","-",IF(COUNTIF(E.DETACHED!B:B,B67)+COUNTIF('A.S.PRINTOUT'!B:B,B67)&gt;1,COUNTIF(E.DETACHED!B:B,B67)+COUNTIF('A.S.PRINTOUT'!B:B,B67)-1,"-"))</f>
        <v/>
      </c>
      <c r="C67" s="21" t="n"/>
      <c r="D67" s="66" t="n"/>
      <c r="E67" s="67" t="n"/>
      <c r="K67" s="21" t="n"/>
      <c r="S67" s="21" t="n"/>
      <c r="T67" s="67" t="n"/>
      <c r="V67" s="21" t="n"/>
    </row>
    <row r="68" ht="15.75" customHeight="1" s="102">
      <c r="A68" s="13">
        <f>IF(B68="","-",IF(COUNTIF(E.DETACHED!B:B,B68)+COUNTIF('A.S.PRINTOUT'!B:B,B68)&gt;1,COUNTIF(E.DETACHED!B:B,B68)+COUNTIF('A.S.PRINTOUT'!B:B,B68)-1,"-"))</f>
        <v/>
      </c>
      <c r="C68" s="21" t="n"/>
      <c r="D68" s="66" t="n"/>
      <c r="E68" s="67" t="n"/>
      <c r="K68" s="21" t="n"/>
      <c r="S68" s="21" t="n"/>
      <c r="T68" s="67" t="n"/>
      <c r="V68" s="21" t="n"/>
    </row>
    <row r="69" ht="15.75" customHeight="1" s="102">
      <c r="A69" s="13">
        <f>IF(B69="","-",IF(COUNTIF(E.DETACHED!B:B,B69)+COUNTIF('A.S.PRINTOUT'!B:B,B69)&gt;1,COUNTIF(E.DETACHED!B:B,B69)+COUNTIF('A.S.PRINTOUT'!B:B,B69)-1,"-"))</f>
        <v/>
      </c>
      <c r="C69" s="21" t="n"/>
      <c r="D69" s="66" t="n"/>
      <c r="E69" s="67" t="n"/>
      <c r="K69" s="21" t="n"/>
      <c r="S69" s="21" t="n"/>
      <c r="T69" s="67" t="n"/>
      <c r="V69" s="21" t="n"/>
    </row>
    <row r="70" ht="15.75" customHeight="1" s="102">
      <c r="A70" s="13">
        <f>IF(B70="","-",IF(COUNTIF(E.DETACHED!B:B,B70)+COUNTIF('A.S.PRINTOUT'!B:B,B70)&gt;1,COUNTIF(E.DETACHED!B:B,B70)+COUNTIF('A.S.PRINTOUT'!B:B,B70)-1,"-"))</f>
        <v/>
      </c>
      <c r="C70" s="21" t="n"/>
      <c r="D70" s="66" t="n"/>
      <c r="E70" s="67" t="n"/>
      <c r="K70" s="21" t="n"/>
      <c r="S70" s="21" t="n"/>
      <c r="T70" s="67" t="n"/>
      <c r="V70" s="21" t="n"/>
    </row>
    <row r="71" ht="15.75" customHeight="1" s="102">
      <c r="A71" s="13">
        <f>IF(B71="","-",IF(COUNTIF(E.DETACHED!B:B,B71)+COUNTIF('A.S.PRINTOUT'!B:B,B71)&gt;1,COUNTIF(E.DETACHED!B:B,B71)+COUNTIF('A.S.PRINTOUT'!B:B,B71)-1,"-"))</f>
        <v/>
      </c>
      <c r="C71" s="21" t="n"/>
      <c r="D71" s="66" t="n"/>
      <c r="E71" s="67" t="n"/>
      <c r="K71" s="21" t="n"/>
      <c r="S71" s="21" t="n"/>
      <c r="T71" s="67" t="n"/>
      <c r="V71" s="21" t="n"/>
    </row>
    <row r="72" ht="15.75" customHeight="1" s="102">
      <c r="A72" s="13">
        <f>IF(B72="","-",IF(COUNTIF(E.DETACHED!B:B,B72)+COUNTIF('A.S.PRINTOUT'!B:B,B72)&gt;1,COUNTIF(E.DETACHED!B:B,B72)+COUNTIF('A.S.PRINTOUT'!B:B,B72)-1,"-"))</f>
        <v/>
      </c>
      <c r="C72" s="21" t="n"/>
      <c r="D72" s="66" t="n"/>
      <c r="E72" s="67" t="n"/>
      <c r="K72" s="21" t="n"/>
      <c r="S72" s="21" t="n"/>
      <c r="T72" s="67" t="n"/>
      <c r="V72" s="21" t="n"/>
    </row>
    <row r="73" ht="15.75" customHeight="1" s="102">
      <c r="A73" s="13">
        <f>IF(B73="","-",IF(COUNTIF(E.DETACHED!B:B,B73)+COUNTIF('A.S.PRINTOUT'!B:B,B73)&gt;1,COUNTIF(E.DETACHED!B:B,B73)+COUNTIF('A.S.PRINTOUT'!B:B,B73)-1,"-"))</f>
        <v/>
      </c>
      <c r="C73" s="21" t="n"/>
      <c r="D73" s="66" t="n"/>
      <c r="E73" s="67" t="n"/>
      <c r="K73" s="21" t="n"/>
      <c r="S73" s="21" t="n"/>
      <c r="T73" s="67" t="n"/>
      <c r="V73" s="21" t="n"/>
    </row>
    <row r="74" ht="15.75" customHeight="1" s="102">
      <c r="A74" s="13">
        <f>IF(B74="","-",IF(COUNTIF(E.DETACHED!B:B,B74)+COUNTIF('A.S.PRINTOUT'!B:B,B74)&gt;1,COUNTIF(E.DETACHED!B:B,B74)+COUNTIF('A.S.PRINTOUT'!B:B,B74)-1,"-"))</f>
        <v/>
      </c>
      <c r="C74" s="21" t="n"/>
      <c r="D74" s="66" t="n"/>
      <c r="E74" s="67" t="n"/>
      <c r="K74" s="21" t="n"/>
      <c r="S74" s="21" t="n"/>
      <c r="T74" s="67" t="n"/>
      <c r="V74" s="21" t="n"/>
    </row>
    <row r="75" ht="15.75" customHeight="1" s="102">
      <c r="A75" s="13">
        <f>IF(B75="","-",IF(COUNTIF(E.DETACHED!B:B,B75)+COUNTIF('A.S.PRINTOUT'!B:B,B75)&gt;1,COUNTIF(E.DETACHED!B:B,B75)+COUNTIF('A.S.PRINTOUT'!B:B,B75)-1,"-"))</f>
        <v/>
      </c>
      <c r="C75" s="21" t="n"/>
      <c r="D75" s="66" t="n"/>
      <c r="E75" s="67" t="n"/>
      <c r="K75" s="21" t="n"/>
      <c r="S75" s="21" t="n"/>
      <c r="T75" s="67" t="n"/>
      <c r="V75" s="21" t="n"/>
    </row>
    <row r="76" ht="15.75" customHeight="1" s="102">
      <c r="A76" s="13">
        <f>IF(B76="","-",IF(COUNTIF(E.DETACHED!B:B,B76)+COUNTIF('A.S.PRINTOUT'!B:B,B76)&gt;1,COUNTIF(E.DETACHED!B:B,B76)+COUNTIF('A.S.PRINTOUT'!B:B,B76)-1,"-"))</f>
        <v/>
      </c>
      <c r="C76" s="21" t="n"/>
      <c r="D76" s="66" t="n"/>
      <c r="E76" s="67" t="n"/>
      <c r="K76" s="21" t="n"/>
      <c r="S76" s="21" t="n"/>
      <c r="T76" s="67" t="n"/>
      <c r="V76" s="21" t="n"/>
    </row>
    <row r="77" ht="15.75" customHeight="1" s="102">
      <c r="A77" s="13">
        <f>IF(B77="","-",IF(COUNTIF(E.DETACHED!B:B,B77)+COUNTIF('A.S.PRINTOUT'!B:B,B77)&gt;1,COUNTIF(E.DETACHED!B:B,B77)+COUNTIF('A.S.PRINTOUT'!B:B,B77)-1,"-"))</f>
        <v/>
      </c>
      <c r="C77" s="21" t="n"/>
      <c r="D77" s="66" t="n"/>
      <c r="E77" s="67" t="n"/>
      <c r="K77" s="21" t="n"/>
      <c r="S77" s="21" t="n"/>
      <c r="T77" s="67" t="n"/>
      <c r="V77" s="21" t="n"/>
    </row>
    <row r="78" ht="15.75" customHeight="1" s="102">
      <c r="A78" s="13">
        <f>IF(B78="","-",IF(COUNTIF(E.DETACHED!B:B,B78)+COUNTIF('A.S.PRINTOUT'!B:B,B78)&gt;1,COUNTIF(E.DETACHED!B:B,B78)+COUNTIF('A.S.PRINTOUT'!B:B,B78)-1,"-"))</f>
        <v/>
      </c>
      <c r="C78" s="21" t="n"/>
      <c r="D78" s="66" t="n"/>
      <c r="E78" s="67" t="n"/>
      <c r="K78" s="21" t="n"/>
      <c r="S78" s="21" t="n"/>
      <c r="T78" s="67" t="n"/>
      <c r="V78" s="21" t="n"/>
    </row>
    <row r="79" ht="15.75" customHeight="1" s="102">
      <c r="A79" s="13">
        <f>IF(B79="","-",IF(COUNTIF(E.DETACHED!B:B,B79)+COUNTIF('A.S.PRINTOUT'!B:B,B79)&gt;1,COUNTIF(E.DETACHED!B:B,B79)+COUNTIF('A.S.PRINTOUT'!B:B,B79)-1,"-"))</f>
        <v/>
      </c>
      <c r="C79" s="21" t="n"/>
      <c r="D79" s="66" t="n"/>
      <c r="E79" s="67" t="n"/>
      <c r="K79" s="21" t="n"/>
      <c r="S79" s="21" t="n"/>
      <c r="T79" s="67" t="n"/>
      <c r="V79" s="21" t="n"/>
    </row>
    <row r="80" ht="15.75" customHeight="1" s="102">
      <c r="A80" s="13">
        <f>IF(B80="","-",IF(COUNTIF(E.DETACHED!B:B,B80)+COUNTIF('A.S.PRINTOUT'!B:B,B80)&gt;1,COUNTIF(E.DETACHED!B:B,B80)+COUNTIF('A.S.PRINTOUT'!B:B,B80)-1,"-"))</f>
        <v/>
      </c>
      <c r="C80" s="21" t="n"/>
      <c r="D80" s="66" t="n"/>
      <c r="E80" s="67" t="n"/>
      <c r="K80" s="21" t="n"/>
      <c r="S80" s="21" t="n"/>
      <c r="T80" s="67" t="n"/>
      <c r="V80" s="21" t="n"/>
    </row>
    <row r="81" ht="15.75" customHeight="1" s="102">
      <c r="A81" s="13">
        <f>IF(B81="","-",IF(COUNTIF(E.DETACHED!B:B,B81)+COUNTIF('A.S.PRINTOUT'!B:B,B81)&gt;1,COUNTIF(E.DETACHED!B:B,B81)+COUNTIF('A.S.PRINTOUT'!B:B,B81)-1,"-"))</f>
        <v/>
      </c>
      <c r="C81" s="21" t="n"/>
      <c r="D81" s="66" t="n"/>
      <c r="E81" s="67" t="n"/>
      <c r="K81" s="21" t="n"/>
      <c r="S81" s="21" t="n"/>
      <c r="T81" s="67" t="n"/>
      <c r="V81" s="21" t="n"/>
    </row>
    <row r="82" ht="15.75" customHeight="1" s="102">
      <c r="A82" s="13">
        <f>IF(B82="","-",IF(COUNTIF(E.DETACHED!B:B,B82)+COUNTIF('A.S.PRINTOUT'!B:B,B82)&gt;1,COUNTIF(E.DETACHED!B:B,B82)+COUNTIF('A.S.PRINTOUT'!B:B,B82)-1,"-"))</f>
        <v/>
      </c>
      <c r="C82" s="21" t="n"/>
      <c r="D82" s="66" t="n"/>
      <c r="E82" s="67" t="n"/>
      <c r="K82" s="21" t="n"/>
      <c r="S82" s="21" t="n"/>
      <c r="T82" s="67" t="n"/>
      <c r="V82" s="21" t="n"/>
    </row>
    <row r="83" ht="15.75" customHeight="1" s="102">
      <c r="A83" s="13">
        <f>IF(B83="","-",IF(COUNTIF(E.DETACHED!B:B,B83)+COUNTIF('A.S.PRINTOUT'!B:B,B83)&gt;1,COUNTIF(E.DETACHED!B:B,B83)+COUNTIF('A.S.PRINTOUT'!B:B,B83)-1,"-"))</f>
        <v/>
      </c>
      <c r="C83" s="21" t="n"/>
      <c r="D83" s="66" t="n"/>
      <c r="E83" s="67" t="n"/>
      <c r="K83" s="21" t="n"/>
      <c r="S83" s="21" t="n"/>
      <c r="T83" s="67" t="n"/>
      <c r="V83" s="21" t="n"/>
    </row>
    <row r="84" ht="15.75" customHeight="1" s="102">
      <c r="A84" s="13">
        <f>IF(B84="","-",IF(COUNTIF(E.DETACHED!B:B,B84)+COUNTIF('A.S.PRINTOUT'!B:B,B84)&gt;1,COUNTIF(E.DETACHED!B:B,B84)+COUNTIF('A.S.PRINTOUT'!B:B,B84)-1,"-"))</f>
        <v/>
      </c>
      <c r="C84" s="21" t="n"/>
      <c r="D84" s="66" t="n"/>
      <c r="E84" s="67" t="n"/>
      <c r="K84" s="21" t="n"/>
      <c r="S84" s="21" t="n"/>
      <c r="T84" s="67" t="n"/>
      <c r="V84" s="21" t="n"/>
    </row>
    <row r="85" ht="15.75" customHeight="1" s="102">
      <c r="A85" s="13">
        <f>IF(B85="","-",IF(COUNTIF(E.DETACHED!B:B,B85)+COUNTIF('A.S.PRINTOUT'!B:B,B85)&gt;1,COUNTIF(E.DETACHED!B:B,B85)+COUNTIF('A.S.PRINTOUT'!B:B,B85)-1,"-"))</f>
        <v/>
      </c>
      <c r="C85" s="21" t="n"/>
      <c r="D85" s="66" t="n"/>
      <c r="E85" s="67" t="n"/>
      <c r="K85" s="21" t="n"/>
      <c r="S85" s="21" t="n"/>
      <c r="T85" s="67" t="n"/>
      <c r="V85" s="21" t="n"/>
    </row>
    <row r="86" ht="15.75" customHeight="1" s="102">
      <c r="A86" s="13">
        <f>IF(B86="","-",IF(COUNTIF(E.DETACHED!B:B,B86)+COUNTIF('A.S.PRINTOUT'!B:B,B86)&gt;1,COUNTIF(E.DETACHED!B:B,B86)+COUNTIF('A.S.PRINTOUT'!B:B,B86)-1,"-"))</f>
        <v/>
      </c>
      <c r="C86" s="21" t="n"/>
      <c r="D86" s="66" t="n"/>
      <c r="E86" s="67" t="n"/>
      <c r="K86" s="21" t="n"/>
      <c r="S86" s="21" t="n"/>
      <c r="T86" s="67" t="n"/>
      <c r="V86" s="21" t="n"/>
    </row>
    <row r="87" ht="15.75" customHeight="1" s="102">
      <c r="A87" s="13">
        <f>IF(B87="","-",IF(COUNTIF(E.DETACHED!B:B,B87)+COUNTIF('A.S.PRINTOUT'!B:B,B87)&gt;1,COUNTIF(E.DETACHED!B:B,B87)+COUNTIF('A.S.PRINTOUT'!B:B,B87)-1,"-"))</f>
        <v/>
      </c>
      <c r="C87" s="21" t="n"/>
      <c r="D87" s="66" t="n"/>
      <c r="E87" s="67" t="n"/>
      <c r="K87" s="21" t="n"/>
      <c r="S87" s="21" t="n"/>
      <c r="T87" s="67" t="n"/>
      <c r="V87" s="21" t="n"/>
    </row>
    <row r="88" ht="15.75" customHeight="1" s="102">
      <c r="A88" s="13">
        <f>IF(B88="","-",IF(COUNTIF(E.DETACHED!B:B,B88)+COUNTIF('A.S.PRINTOUT'!B:B,B88)&gt;1,COUNTIF(E.DETACHED!B:B,B88)+COUNTIF('A.S.PRINTOUT'!B:B,B88)-1,"-"))</f>
        <v/>
      </c>
      <c r="C88" s="21" t="n"/>
      <c r="D88" s="66" t="n"/>
      <c r="E88" s="67" t="n"/>
      <c r="K88" s="21" t="n"/>
      <c r="S88" s="21" t="n"/>
      <c r="T88" s="67" t="n"/>
      <c r="V88" s="21" t="n"/>
    </row>
    <row r="89" ht="15.75" customHeight="1" s="102">
      <c r="A89" s="13">
        <f>IF(B89="","-",IF(COUNTIF(E.DETACHED!B:B,B89)+COUNTIF('A.S.PRINTOUT'!B:B,B89)&gt;1,COUNTIF(E.DETACHED!B:B,B89)+COUNTIF('A.S.PRINTOUT'!B:B,B89)-1,"-"))</f>
        <v/>
      </c>
      <c r="C89" s="21" t="n"/>
      <c r="D89" s="66" t="n"/>
      <c r="E89" s="67" t="n"/>
      <c r="K89" s="21" t="n"/>
      <c r="S89" s="21" t="n"/>
      <c r="T89" s="67" t="n"/>
      <c r="V89" s="21" t="n"/>
    </row>
    <row r="90" ht="15.75" customHeight="1" s="102">
      <c r="A90" s="13">
        <f>IF(B90="","-",IF(COUNTIF(E.DETACHED!B:B,B90)+COUNTIF('A.S.PRINTOUT'!B:B,B90)&gt;1,COUNTIF(E.DETACHED!B:B,B90)+COUNTIF('A.S.PRINTOUT'!B:B,B90)-1,"-"))</f>
        <v/>
      </c>
      <c r="C90" s="21" t="n"/>
      <c r="D90" s="66" t="n"/>
      <c r="E90" s="67" t="n"/>
      <c r="K90" s="21" t="n"/>
      <c r="S90" s="21" t="n"/>
      <c r="T90" s="67" t="n"/>
      <c r="V90" s="21" t="n"/>
    </row>
    <row r="91" ht="15.75" customHeight="1" s="102">
      <c r="A91" s="13">
        <f>IF(B91="","-",IF(COUNTIF(E.DETACHED!B:B,B91)+COUNTIF('A.S.PRINTOUT'!B:B,B91)&gt;1,COUNTIF(E.DETACHED!B:B,B91)+COUNTIF('A.S.PRINTOUT'!B:B,B91)-1,"-"))</f>
        <v/>
      </c>
      <c r="C91" s="21" t="n"/>
      <c r="D91" s="66" t="n"/>
      <c r="E91" s="67" t="n"/>
      <c r="K91" s="21" t="n"/>
      <c r="S91" s="21" t="n"/>
      <c r="T91" s="67" t="n"/>
      <c r="V91" s="21" t="n"/>
    </row>
    <row r="92" ht="15.75" customHeight="1" s="102">
      <c r="A92" s="13">
        <f>IF(B92="","-",IF(COUNTIF(E.DETACHED!B:B,B92)+COUNTIF('A.S.PRINTOUT'!B:B,B92)&gt;1,COUNTIF(E.DETACHED!B:B,B92)+COUNTIF('A.S.PRINTOUT'!B:B,B92)-1,"-"))</f>
        <v/>
      </c>
      <c r="C92" s="21" t="n"/>
      <c r="D92" s="66" t="n"/>
      <c r="E92" s="67" t="n"/>
      <c r="K92" s="21" t="n"/>
      <c r="S92" s="21" t="n"/>
      <c r="T92" s="67" t="n"/>
      <c r="V92" s="21" t="n"/>
    </row>
    <row r="93" ht="15.75" customHeight="1" s="102">
      <c r="A93" s="13">
        <f>IF(B93="","-",IF(COUNTIF(E.DETACHED!B:B,B93)+COUNTIF('A.S.PRINTOUT'!B:B,B93)&gt;1,COUNTIF(E.DETACHED!B:B,B93)+COUNTIF('A.S.PRINTOUT'!B:B,B93)-1,"-"))</f>
        <v/>
      </c>
      <c r="C93" s="21" t="n"/>
      <c r="D93" s="66" t="n"/>
      <c r="E93" s="67" t="n"/>
      <c r="K93" s="21" t="n"/>
      <c r="S93" s="21" t="n"/>
      <c r="T93" s="67" t="n"/>
      <c r="V93" s="21" t="n"/>
    </row>
    <row r="94" ht="15.75" customHeight="1" s="102">
      <c r="A94" s="13">
        <f>IF(B94="","-",IF(COUNTIF(E.DETACHED!B:B,B94)+COUNTIF('A.S.PRINTOUT'!B:B,B94)&gt;1,COUNTIF(E.DETACHED!B:B,B94)+COUNTIF('A.S.PRINTOUT'!B:B,B94)-1,"-"))</f>
        <v/>
      </c>
      <c r="C94" s="21" t="n"/>
      <c r="D94" s="66" t="n"/>
      <c r="E94" s="67" t="n"/>
      <c r="K94" s="21" t="n"/>
      <c r="S94" s="21" t="n"/>
      <c r="T94" s="67" t="n"/>
      <c r="V94" s="21" t="n"/>
    </row>
    <row r="95" ht="15.75" customHeight="1" s="102">
      <c r="A95" s="13">
        <f>IF(B95="","-",IF(COUNTIF(E.DETACHED!B:B,B95)+COUNTIF('A.S.PRINTOUT'!B:B,B95)&gt;1,COUNTIF(E.DETACHED!B:B,B95)+COUNTIF('A.S.PRINTOUT'!B:B,B95)-1,"-"))</f>
        <v/>
      </c>
      <c r="C95" s="21" t="n"/>
      <c r="D95" s="66" t="n"/>
      <c r="E95" s="67" t="n"/>
      <c r="K95" s="21" t="n"/>
      <c r="S95" s="21" t="n"/>
      <c r="T95" s="67" t="n"/>
      <c r="V95" s="21" t="n"/>
    </row>
    <row r="96" ht="15.75" customHeight="1" s="102">
      <c r="A96" s="13">
        <f>IF(B96="","-",IF(COUNTIF(E.DETACHED!B:B,B96)+COUNTIF('A.S.PRINTOUT'!B:B,B96)&gt;1,COUNTIF(E.DETACHED!B:B,B96)+COUNTIF('A.S.PRINTOUT'!B:B,B96)-1,"-"))</f>
        <v/>
      </c>
      <c r="C96" s="21" t="n"/>
      <c r="D96" s="66" t="n"/>
      <c r="E96" s="67" t="n"/>
      <c r="K96" s="21" t="n"/>
      <c r="S96" s="21" t="n"/>
      <c r="T96" s="67" t="n"/>
      <c r="V96" s="21" t="n"/>
    </row>
    <row r="97" ht="15.75" customHeight="1" s="102">
      <c r="A97" s="13">
        <f>IF(B97="","-",IF(COUNTIF(E.DETACHED!B:B,B97)+COUNTIF('A.S.PRINTOUT'!B:B,B97)&gt;1,COUNTIF(E.DETACHED!B:B,B97)+COUNTIF('A.S.PRINTOUT'!B:B,B97)-1,"-"))</f>
        <v/>
      </c>
      <c r="C97" s="21" t="n"/>
      <c r="D97" s="66" t="n"/>
      <c r="E97" s="67" t="n"/>
      <c r="K97" s="21" t="n"/>
      <c r="S97" s="21" t="n"/>
      <c r="T97" s="67" t="n"/>
      <c r="V97" s="21" t="n"/>
    </row>
    <row r="98" ht="15.75" customHeight="1" s="102">
      <c r="A98" s="13">
        <f>IF(B98="","-",IF(COUNTIF(E.DETACHED!B:B,B98)+COUNTIF('A.S.PRINTOUT'!B:B,B98)&gt;1,COUNTIF(E.DETACHED!B:B,B98)+COUNTIF('A.S.PRINTOUT'!B:B,B98)-1,"-"))</f>
        <v/>
      </c>
      <c r="C98" s="21" t="n"/>
      <c r="D98" s="66" t="n"/>
      <c r="E98" s="67" t="n"/>
      <c r="K98" s="21" t="n"/>
      <c r="S98" s="21" t="n"/>
      <c r="T98" s="67" t="n"/>
      <c r="V98" s="21" t="n"/>
    </row>
    <row r="99" ht="15.75" customHeight="1" s="102">
      <c r="A99" s="13">
        <f>IF(B99="","-",IF(COUNTIF(E.DETACHED!B:B,B99)+COUNTIF('A.S.PRINTOUT'!B:B,B99)&gt;1,COUNTIF(E.DETACHED!B:B,B99)+COUNTIF('A.S.PRINTOUT'!B:B,B99)-1,"-"))</f>
        <v/>
      </c>
      <c r="C99" s="21" t="n"/>
      <c r="D99" s="66" t="n"/>
      <c r="E99" s="67" t="n"/>
      <c r="K99" s="21" t="n"/>
      <c r="S99" s="21" t="n"/>
      <c r="T99" s="67" t="n"/>
      <c r="V99" s="21" t="n"/>
    </row>
    <row r="100" ht="15.75" customHeight="1" s="102">
      <c r="A100" s="13">
        <f>IF(B100="","-",IF(COUNTIF(E.DETACHED!B:B,B100)+COUNTIF('A.S.PRINTOUT'!B:B,B100)&gt;1,COUNTIF(E.DETACHED!B:B,B100)+COUNTIF('A.S.PRINTOUT'!B:B,B100)-1,"-"))</f>
        <v/>
      </c>
      <c r="C100" s="21" t="n"/>
      <c r="D100" s="66" t="n"/>
      <c r="E100" s="67" t="n"/>
      <c r="K100" s="21" t="n"/>
      <c r="S100" s="21" t="n"/>
      <c r="T100" s="67" t="n"/>
      <c r="V100" s="21" t="n"/>
    </row>
    <row r="101" ht="15.75" customHeight="1" s="102">
      <c r="A101" s="13">
        <f>IF(B101="","-",IF(COUNTIF(E.DETACHED!B:B,B101)+COUNTIF('A.S.PRINTOUT'!B:B,B101)&gt;1,COUNTIF(E.DETACHED!B:B,B101)+COUNTIF('A.S.PRINTOUT'!B:B,B101)-1,"-"))</f>
        <v/>
      </c>
      <c r="C101" s="21" t="n"/>
      <c r="D101" s="66" t="n"/>
      <c r="E101" s="67" t="n"/>
      <c r="K101" s="21" t="n"/>
      <c r="S101" s="21" t="n"/>
      <c r="T101" s="67" t="n"/>
      <c r="V101" s="21" t="n"/>
    </row>
    <row r="102" ht="15.75" customHeight="1" s="102">
      <c r="A102" s="13">
        <f>IF(B102="","-",IF(COUNTIF(E.DETACHED!B:B,B102)+COUNTIF('A.S.PRINTOUT'!B:B,B102)&gt;1,COUNTIF(E.DETACHED!B:B,B102)+COUNTIF('A.S.PRINTOUT'!B:B,B102)-1,"-"))</f>
        <v/>
      </c>
      <c r="C102" s="21" t="n"/>
      <c r="D102" s="66" t="n"/>
      <c r="E102" s="67" t="n"/>
      <c r="K102" s="21" t="n"/>
      <c r="S102" s="21" t="n"/>
      <c r="T102" s="67" t="n"/>
      <c r="V102" s="21" t="n"/>
    </row>
    <row r="103" ht="15.75" customHeight="1" s="102">
      <c r="A103" s="13">
        <f>IF(B103="","-",IF(COUNTIF(E.DETACHED!B:B,B103)+COUNTIF('A.S.PRINTOUT'!B:B,B103)&gt;1,COUNTIF(E.DETACHED!B:B,B103)+COUNTIF('A.S.PRINTOUT'!B:B,B103)-1,"-"))</f>
        <v/>
      </c>
      <c r="C103" s="21" t="n"/>
      <c r="D103" s="66" t="n"/>
      <c r="E103" s="67" t="n"/>
      <c r="K103" s="21" t="n"/>
      <c r="S103" s="21" t="n"/>
      <c r="T103" s="67" t="n"/>
      <c r="V103" s="21" t="n"/>
    </row>
    <row r="104" ht="15.75" customHeight="1" s="102">
      <c r="A104" s="13">
        <f>IF(B104="","-",IF(COUNTIF(E.DETACHED!B:B,B104)+COUNTIF('A.S.PRINTOUT'!B:B,B104)&gt;1,COUNTIF(E.DETACHED!B:B,B104)+COUNTIF('A.S.PRINTOUT'!B:B,B104)-1,"-"))</f>
        <v/>
      </c>
      <c r="C104" s="21" t="n"/>
      <c r="D104" s="66" t="n"/>
      <c r="E104" s="67" t="n"/>
      <c r="K104" s="21" t="n"/>
      <c r="S104" s="21" t="n"/>
      <c r="T104" s="67" t="n"/>
      <c r="V104" s="21" t="n"/>
    </row>
    <row r="105" ht="15.75" customHeight="1" s="102">
      <c r="A105" s="13">
        <f>IF(B105="","-",IF(COUNTIF(E.DETACHED!B:B,B105)+COUNTIF('A.S.PRINTOUT'!B:B,B105)&gt;1,COUNTIF(E.DETACHED!B:B,B105)+COUNTIF('A.S.PRINTOUT'!B:B,B105)-1,"-"))</f>
        <v/>
      </c>
      <c r="C105" s="21" t="n"/>
      <c r="D105" s="66" t="n"/>
      <c r="E105" s="67" t="n"/>
      <c r="K105" s="21" t="n"/>
      <c r="S105" s="21" t="n"/>
      <c r="T105" s="67" t="n"/>
      <c r="V105" s="21" t="n"/>
    </row>
    <row r="106" ht="15.75" customHeight="1" s="102">
      <c r="A106" s="13">
        <f>IF(B106="","-",IF(COUNTIF(E.DETACHED!B:B,B106)+COUNTIF('A.S.PRINTOUT'!B:B,B106)&gt;1,COUNTIF(E.DETACHED!B:B,B106)+COUNTIF('A.S.PRINTOUT'!B:B,B106)-1,"-"))</f>
        <v/>
      </c>
      <c r="C106" s="21" t="n"/>
      <c r="D106" s="66" t="n"/>
      <c r="E106" s="67" t="n"/>
      <c r="K106" s="21" t="n"/>
      <c r="S106" s="21" t="n"/>
      <c r="T106" s="67" t="n"/>
      <c r="V106" s="21" t="n"/>
    </row>
    <row r="107" ht="15.75" customHeight="1" s="102">
      <c r="A107" s="13">
        <f>IF(B107="","-",IF(COUNTIF(E.DETACHED!B:B,B107)+COUNTIF('A.S.PRINTOUT'!B:B,B107)&gt;1,COUNTIF(E.DETACHED!B:B,B107)+COUNTIF('A.S.PRINTOUT'!B:B,B107)-1,"-"))</f>
        <v/>
      </c>
      <c r="C107" s="21" t="n"/>
      <c r="D107" s="66" t="n"/>
      <c r="E107" s="67" t="n"/>
      <c r="K107" s="21" t="n"/>
      <c r="S107" s="21" t="n"/>
      <c r="T107" s="67" t="n"/>
      <c r="V107" s="21" t="n"/>
    </row>
    <row r="108" ht="15.75" customHeight="1" s="102">
      <c r="A108" s="13">
        <f>IF(B108="","-",IF(COUNTIF(E.DETACHED!B:B,B108)+COUNTIF('A.S.PRINTOUT'!B:B,B108)&gt;1,COUNTIF(E.DETACHED!B:B,B108)+COUNTIF('A.S.PRINTOUT'!B:B,B108)-1,"-"))</f>
        <v/>
      </c>
      <c r="C108" s="21" t="n"/>
      <c r="D108" s="66" t="n"/>
      <c r="E108" s="67" t="n"/>
      <c r="K108" s="21" t="n"/>
      <c r="S108" s="21" t="n"/>
      <c r="T108" s="67" t="n"/>
      <c r="V108" s="21" t="n"/>
    </row>
    <row r="109" ht="15.75" customHeight="1" s="102">
      <c r="A109" s="13">
        <f>IF(B109="","-",IF(COUNTIF(E.DETACHED!B:B,B109)+COUNTIF('A.S.PRINTOUT'!B:B,B109)&gt;1,COUNTIF(E.DETACHED!B:B,B109)+COUNTIF('A.S.PRINTOUT'!B:B,B109)-1,"-"))</f>
        <v/>
      </c>
      <c r="C109" s="21" t="n"/>
      <c r="D109" s="66" t="n"/>
      <c r="E109" s="67" t="n"/>
      <c r="K109" s="21" t="n"/>
      <c r="S109" s="21" t="n"/>
      <c r="T109" s="67" t="n"/>
      <c r="V109" s="21" t="n"/>
    </row>
    <row r="110" ht="15.75" customHeight="1" s="102">
      <c r="A110" s="13">
        <f>IF(B110="","-",IF(COUNTIF(E.DETACHED!B:B,B110)+COUNTIF('A.S.PRINTOUT'!B:B,B110)&gt;1,COUNTIF(E.DETACHED!B:B,B110)+COUNTIF('A.S.PRINTOUT'!B:B,B110)-1,"-"))</f>
        <v/>
      </c>
      <c r="C110" s="21" t="n"/>
      <c r="D110" s="66" t="n"/>
      <c r="E110" s="67" t="n"/>
      <c r="K110" s="21" t="n"/>
      <c r="S110" s="21" t="n"/>
      <c r="T110" s="67" t="n"/>
      <c r="V110" s="21" t="n"/>
    </row>
    <row r="111" ht="15.75" customHeight="1" s="102">
      <c r="A111" s="13">
        <f>IF(B111="","-",IF(COUNTIF(E.DETACHED!B:B,B111)+COUNTIF('A.S.PRINTOUT'!B:B,B111)&gt;1,COUNTIF(E.DETACHED!B:B,B111)+COUNTIF('A.S.PRINTOUT'!B:B,B111)-1,"-"))</f>
        <v/>
      </c>
      <c r="C111" s="21" t="n"/>
      <c r="D111" s="66" t="n"/>
      <c r="E111" s="67" t="n"/>
      <c r="K111" s="21" t="n"/>
      <c r="S111" s="21" t="n"/>
      <c r="T111" s="67" t="n"/>
      <c r="V111" s="21" t="n"/>
    </row>
    <row r="112" ht="15.75" customHeight="1" s="102">
      <c r="A112" s="13">
        <f>IF(B112="","-",IF(COUNTIF(E.DETACHED!B:B,B112)+COUNTIF('A.S.PRINTOUT'!B:B,B112)&gt;1,COUNTIF(E.DETACHED!B:B,B112)+COUNTIF('A.S.PRINTOUT'!B:B,B112)-1,"-"))</f>
        <v/>
      </c>
      <c r="C112" s="21" t="n"/>
      <c r="D112" s="66" t="n"/>
      <c r="E112" s="67" t="n"/>
      <c r="K112" s="21" t="n"/>
      <c r="S112" s="21" t="n"/>
      <c r="T112" s="67" t="n"/>
      <c r="V112" s="21" t="n"/>
    </row>
    <row r="113" ht="15.75" customHeight="1" s="102">
      <c r="A113" s="13">
        <f>IF(B113="","-",IF(COUNTIF(E.DETACHED!B:B,B113)+COUNTIF('A.S.PRINTOUT'!B:B,B113)&gt;1,COUNTIF(E.DETACHED!B:B,B113)+COUNTIF('A.S.PRINTOUT'!B:B,B113)-1,"-"))</f>
        <v/>
      </c>
      <c r="C113" s="21" t="n"/>
      <c r="D113" s="66" t="n"/>
      <c r="E113" s="67" t="n"/>
      <c r="K113" s="21" t="n"/>
      <c r="S113" s="21" t="n"/>
      <c r="T113" s="67" t="n"/>
      <c r="V113" s="21" t="n"/>
    </row>
    <row r="114" ht="15.75" customHeight="1" s="102">
      <c r="A114" s="13">
        <f>IF(B114="","-",IF(COUNTIF(E.DETACHED!B:B,B114)+COUNTIF('A.S.PRINTOUT'!B:B,B114)&gt;1,COUNTIF(E.DETACHED!B:B,B114)+COUNTIF('A.S.PRINTOUT'!B:B,B114)-1,"-"))</f>
        <v/>
      </c>
      <c r="C114" s="21" t="n"/>
      <c r="D114" s="66" t="n"/>
      <c r="E114" s="67" t="n"/>
      <c r="K114" s="21" t="n"/>
      <c r="S114" s="21" t="n"/>
      <c r="T114" s="67" t="n"/>
      <c r="V114" s="21" t="n"/>
    </row>
    <row r="115" ht="15.75" customHeight="1" s="102">
      <c r="A115" s="13">
        <f>IF(B115="","-",IF(COUNTIF(E.DETACHED!B:B,B115)+COUNTIF('A.S.PRINTOUT'!B:B,B115)&gt;1,COUNTIF(E.DETACHED!B:B,B115)+COUNTIF('A.S.PRINTOUT'!B:B,B115)-1,"-"))</f>
        <v/>
      </c>
      <c r="C115" s="21" t="n"/>
      <c r="D115" s="66" t="n"/>
      <c r="E115" s="67" t="n"/>
      <c r="K115" s="21" t="n"/>
      <c r="S115" s="21" t="n"/>
      <c r="T115" s="67" t="n"/>
      <c r="V115" s="21" t="n"/>
    </row>
    <row r="116" ht="15.75" customHeight="1" s="102">
      <c r="A116" s="13">
        <f>IF(B116="","-",IF(COUNTIF(E.DETACHED!B:B,B116)+COUNTIF('A.S.PRINTOUT'!B:B,B116)&gt;1,COUNTIF(E.DETACHED!B:B,B116)+COUNTIF('A.S.PRINTOUT'!B:B,B116)-1,"-"))</f>
        <v/>
      </c>
      <c r="C116" s="21" t="n"/>
      <c r="D116" s="66" t="n"/>
      <c r="E116" s="67" t="n"/>
      <c r="K116" s="21" t="n"/>
      <c r="S116" s="21" t="n"/>
      <c r="T116" s="67" t="n"/>
      <c r="V116" s="21" t="n"/>
    </row>
    <row r="117" ht="15.75" customHeight="1" s="102">
      <c r="A117" s="13">
        <f>IF(B117="","-",IF(COUNTIF(E.DETACHED!B:B,B117)+COUNTIF('A.S.PRINTOUT'!B:B,B117)&gt;1,COUNTIF(E.DETACHED!B:B,B117)+COUNTIF('A.S.PRINTOUT'!B:B,B117)-1,"-"))</f>
        <v/>
      </c>
      <c r="C117" s="21" t="n"/>
      <c r="D117" s="66" t="n"/>
      <c r="E117" s="67" t="n"/>
      <c r="K117" s="21" t="n"/>
      <c r="S117" s="21" t="n"/>
      <c r="T117" s="67" t="n"/>
      <c r="V117" s="21" t="n"/>
    </row>
    <row r="118" ht="15.75" customHeight="1" s="102">
      <c r="A118" s="13">
        <f>IF(B118="","-",IF(COUNTIF(E.DETACHED!B:B,B118)+COUNTIF('A.S.PRINTOUT'!B:B,B118)&gt;1,COUNTIF(E.DETACHED!B:B,B118)+COUNTIF('A.S.PRINTOUT'!B:B,B118)-1,"-"))</f>
        <v/>
      </c>
      <c r="C118" s="21" t="n"/>
      <c r="D118" s="66" t="n"/>
      <c r="E118" s="67" t="n"/>
      <c r="K118" s="21" t="n"/>
      <c r="S118" s="21" t="n"/>
      <c r="T118" s="67" t="n"/>
      <c r="V118" s="21" t="n"/>
    </row>
    <row r="119" ht="15.75" customHeight="1" s="102">
      <c r="A119" s="13">
        <f>IF(B119="","-",IF(COUNTIF(E.DETACHED!B:B,B119)+COUNTIF('A.S.PRINTOUT'!B:B,B119)&gt;1,COUNTIF(E.DETACHED!B:B,B119)+COUNTIF('A.S.PRINTOUT'!B:B,B119)-1,"-"))</f>
        <v/>
      </c>
      <c r="C119" s="21" t="n"/>
      <c r="D119" s="66" t="n"/>
      <c r="E119" s="67" t="n"/>
      <c r="K119" s="21" t="n"/>
      <c r="S119" s="21" t="n"/>
      <c r="T119" s="67" t="n"/>
      <c r="V119" s="21" t="n"/>
    </row>
    <row r="120" ht="15.75" customHeight="1" s="102">
      <c r="A120" s="13">
        <f>IF(B120="","-",IF(COUNTIF(E.DETACHED!B:B,B120)+COUNTIF('A.S.PRINTOUT'!B:B,B120)&gt;1,COUNTIF(E.DETACHED!B:B,B120)+COUNTIF('A.S.PRINTOUT'!B:B,B120)-1,"-"))</f>
        <v/>
      </c>
      <c r="C120" s="21" t="n"/>
      <c r="D120" s="66" t="n"/>
      <c r="E120" s="67" t="n"/>
      <c r="K120" s="21" t="n"/>
      <c r="S120" s="21" t="n"/>
      <c r="T120" s="67" t="n"/>
      <c r="V120" s="21" t="n"/>
    </row>
    <row r="121" ht="15.75" customHeight="1" s="102">
      <c r="A121" s="13">
        <f>IF(B121="","-",IF(COUNTIF(E.DETACHED!B:B,B121)+COUNTIF('A.S.PRINTOUT'!B:B,B121)&gt;1,COUNTIF(E.DETACHED!B:B,B121)+COUNTIF('A.S.PRINTOUT'!B:B,B121)-1,"-"))</f>
        <v/>
      </c>
      <c r="C121" s="21" t="n"/>
      <c r="D121" s="66" t="n"/>
      <c r="E121" s="67" t="n"/>
      <c r="K121" s="21" t="n"/>
      <c r="S121" s="21" t="n"/>
      <c r="T121" s="67" t="n"/>
      <c r="V121" s="21" t="n"/>
    </row>
    <row r="122" ht="15.75" customHeight="1" s="102">
      <c r="A122" s="13">
        <f>IF(B122="","-",IF(COUNTIF(E.DETACHED!B:B,B122)+COUNTIF('A.S.PRINTOUT'!B:B,B122)&gt;1,COUNTIF(E.DETACHED!B:B,B122)+COUNTIF('A.S.PRINTOUT'!B:B,B122)-1,"-"))</f>
        <v/>
      </c>
      <c r="C122" s="21" t="n"/>
      <c r="D122" s="66" t="n"/>
      <c r="E122" s="67" t="n"/>
      <c r="K122" s="21" t="n"/>
      <c r="S122" s="21" t="n"/>
      <c r="T122" s="67" t="n"/>
      <c r="V122" s="21" t="n"/>
    </row>
    <row r="123" ht="15.75" customHeight="1" s="102">
      <c r="A123" s="13">
        <f>IF(B123="","-",IF(COUNTIF(E.DETACHED!B:B,B123)+COUNTIF('A.S.PRINTOUT'!B:B,B123)&gt;1,COUNTIF(E.DETACHED!B:B,B123)+COUNTIF('A.S.PRINTOUT'!B:B,B123)-1,"-"))</f>
        <v/>
      </c>
      <c r="C123" s="21" t="n"/>
      <c r="D123" s="66" t="n"/>
      <c r="E123" s="67" t="n"/>
      <c r="K123" s="21" t="n"/>
      <c r="S123" s="21" t="n"/>
      <c r="T123" s="67" t="n"/>
      <c r="V123" s="21" t="n"/>
    </row>
    <row r="124" ht="15.75" customHeight="1" s="102">
      <c r="A124" s="13">
        <f>IF(B124="","-",IF(COUNTIF(E.DETACHED!B:B,B124)+COUNTIF('A.S.PRINTOUT'!B:B,B124)&gt;1,COUNTIF(E.DETACHED!B:B,B124)+COUNTIF('A.S.PRINTOUT'!B:B,B124)-1,"-"))</f>
        <v/>
      </c>
      <c r="C124" s="21" t="n"/>
      <c r="D124" s="66" t="n"/>
      <c r="E124" s="67" t="n"/>
      <c r="K124" s="21" t="n"/>
      <c r="S124" s="21" t="n"/>
      <c r="T124" s="67" t="n"/>
      <c r="V124" s="21" t="n"/>
    </row>
    <row r="125" ht="15.75" customHeight="1" s="102">
      <c r="A125" s="13">
        <f>IF(B125="","-",IF(COUNTIF(E.DETACHED!B:B,B125)+COUNTIF('A.S.PRINTOUT'!B:B,B125)&gt;1,COUNTIF(E.DETACHED!B:B,B125)+COUNTIF('A.S.PRINTOUT'!B:B,B125)-1,"-"))</f>
        <v/>
      </c>
      <c r="C125" s="21" t="n"/>
      <c r="D125" s="66" t="n"/>
      <c r="E125" s="67" t="n"/>
      <c r="K125" s="21" t="n"/>
      <c r="S125" s="21" t="n"/>
      <c r="T125" s="67" t="n"/>
      <c r="V125" s="21" t="n"/>
    </row>
    <row r="126" ht="15.75" customHeight="1" s="102">
      <c r="A126" s="13">
        <f>IF(B126="","-",IF(COUNTIF(E.DETACHED!B:B,B126)+COUNTIF('A.S.PRINTOUT'!B:B,B126)&gt;1,COUNTIF(E.DETACHED!B:B,B126)+COUNTIF('A.S.PRINTOUT'!B:B,B126)-1,"-"))</f>
        <v/>
      </c>
      <c r="C126" s="21" t="n"/>
      <c r="D126" s="66" t="n"/>
      <c r="E126" s="67" t="n"/>
      <c r="K126" s="21" t="n"/>
      <c r="S126" s="21" t="n"/>
      <c r="T126" s="67" t="n"/>
      <c r="V126" s="21" t="n"/>
    </row>
    <row r="127" ht="15.75" customHeight="1" s="102">
      <c r="A127" s="13">
        <f>IF(B127="","-",IF(COUNTIF(E.DETACHED!B:B,B127)+COUNTIF('A.S.PRINTOUT'!B:B,B127)&gt;1,COUNTIF(E.DETACHED!B:B,B127)+COUNTIF('A.S.PRINTOUT'!B:B,B127)-1,"-"))</f>
        <v/>
      </c>
      <c r="C127" s="21" t="n"/>
      <c r="D127" s="66" t="n"/>
      <c r="E127" s="67" t="n"/>
      <c r="K127" s="21" t="n"/>
      <c r="S127" s="21" t="n"/>
      <c r="T127" s="67" t="n"/>
      <c r="V127" s="21" t="n"/>
    </row>
    <row r="128" ht="15.75" customHeight="1" s="102">
      <c r="A128" s="13">
        <f>IF(B128="","-",IF(COUNTIF(E.DETACHED!B:B,B128)+COUNTIF('A.S.PRINTOUT'!B:B,B128)&gt;1,COUNTIF(E.DETACHED!B:B,B128)+COUNTIF('A.S.PRINTOUT'!B:B,B128)-1,"-"))</f>
        <v/>
      </c>
      <c r="C128" s="21" t="n"/>
      <c r="D128" s="66" t="n"/>
      <c r="E128" s="67" t="n"/>
      <c r="K128" s="21" t="n"/>
      <c r="S128" s="21" t="n"/>
      <c r="T128" s="67" t="n"/>
      <c r="V128" s="21" t="n"/>
    </row>
    <row r="129" ht="15.75" customHeight="1" s="102">
      <c r="A129" s="13">
        <f>IF(B129="","-",IF(COUNTIF(E.DETACHED!B:B,B129)+COUNTIF('A.S.PRINTOUT'!B:B,B129)&gt;1,COUNTIF(E.DETACHED!B:B,B129)+COUNTIF('A.S.PRINTOUT'!B:B,B129)-1,"-"))</f>
        <v/>
      </c>
      <c r="C129" s="21" t="n"/>
      <c r="D129" s="66" t="n"/>
      <c r="E129" s="67" t="n"/>
      <c r="K129" s="21" t="n"/>
      <c r="S129" s="21" t="n"/>
      <c r="T129" s="67" t="n"/>
      <c r="V129" s="21" t="n"/>
    </row>
    <row r="130" ht="15.75" customHeight="1" s="102">
      <c r="A130" s="13">
        <f>IF(B130="","-",IF(COUNTIF(E.DETACHED!B:B,B130)+COUNTIF('A.S.PRINTOUT'!B:B,B130)&gt;1,COUNTIF(E.DETACHED!B:B,B130)+COUNTIF('A.S.PRINTOUT'!B:B,B130)-1,"-"))</f>
        <v/>
      </c>
      <c r="C130" s="21" t="n"/>
      <c r="D130" s="66" t="n"/>
      <c r="E130" s="67" t="n"/>
      <c r="K130" s="21" t="n"/>
      <c r="S130" s="21" t="n"/>
      <c r="T130" s="67" t="n"/>
      <c r="V130" s="21" t="n"/>
    </row>
    <row r="131" ht="15.75" customHeight="1" s="102">
      <c r="A131" s="13">
        <f>IF(B131="","-",IF(COUNTIF(E.DETACHED!B:B,B131)+COUNTIF('A.S.PRINTOUT'!B:B,B131)&gt;1,COUNTIF(E.DETACHED!B:B,B131)+COUNTIF('A.S.PRINTOUT'!B:B,B131)-1,"-"))</f>
        <v/>
      </c>
      <c r="C131" s="21" t="n"/>
      <c r="D131" s="66" t="n"/>
      <c r="E131" s="67" t="n"/>
      <c r="K131" s="21" t="n"/>
      <c r="S131" s="21" t="n"/>
      <c r="T131" s="67" t="n"/>
      <c r="V131" s="21" t="n"/>
    </row>
    <row r="132" ht="15.75" customHeight="1" s="102">
      <c r="A132" s="13">
        <f>IF(B132="","-",IF(COUNTIF(E.DETACHED!B:B,B132)+COUNTIF('A.S.PRINTOUT'!B:B,B132)&gt;1,COUNTIF(E.DETACHED!B:B,B132)+COUNTIF('A.S.PRINTOUT'!B:B,B132)-1,"-"))</f>
        <v/>
      </c>
      <c r="C132" s="21" t="n"/>
      <c r="D132" s="66" t="n"/>
      <c r="E132" s="67" t="n"/>
      <c r="K132" s="21" t="n"/>
      <c r="S132" s="21" t="n"/>
      <c r="T132" s="67" t="n"/>
      <c r="V132" s="21" t="n"/>
    </row>
    <row r="133" ht="15.75" customHeight="1" s="102">
      <c r="A133" s="13">
        <f>IF(B133="","-",IF(COUNTIF(E.DETACHED!B:B,B133)+COUNTIF('A.S.PRINTOUT'!B:B,B133)&gt;1,COUNTIF(E.DETACHED!B:B,B133)+COUNTIF('A.S.PRINTOUT'!B:B,B133)-1,"-"))</f>
        <v/>
      </c>
      <c r="C133" s="21" t="n"/>
      <c r="D133" s="66" t="n"/>
      <c r="E133" s="67" t="n"/>
      <c r="K133" s="21" t="n"/>
      <c r="S133" s="21" t="n"/>
      <c r="T133" s="67" t="n"/>
      <c r="V133" s="21" t="n"/>
    </row>
    <row r="134" ht="15.75" customHeight="1" s="102">
      <c r="A134" s="13">
        <f>IF(B134="","-",IF(COUNTIF(E.DETACHED!B:B,B134)+COUNTIF('A.S.PRINTOUT'!B:B,B134)&gt;1,COUNTIF(E.DETACHED!B:B,B134)+COUNTIF('A.S.PRINTOUT'!B:B,B134)-1,"-"))</f>
        <v/>
      </c>
      <c r="C134" s="21" t="n"/>
      <c r="D134" s="66" t="n"/>
      <c r="E134" s="67" t="n"/>
      <c r="K134" s="21" t="n"/>
      <c r="S134" s="21" t="n"/>
      <c r="T134" s="67" t="n"/>
      <c r="V134" s="21" t="n"/>
    </row>
    <row r="135" ht="15.75" customHeight="1" s="102">
      <c r="A135" s="13">
        <f>IF(B135="","-",IF(COUNTIF(E.DETACHED!B:B,B135)+COUNTIF('A.S.PRINTOUT'!B:B,B135)&gt;1,COUNTIF(E.DETACHED!B:B,B135)+COUNTIF('A.S.PRINTOUT'!B:B,B135)-1,"-"))</f>
        <v/>
      </c>
      <c r="C135" s="21" t="n"/>
      <c r="D135" s="66" t="n"/>
      <c r="E135" s="67" t="n"/>
      <c r="K135" s="21" t="n"/>
      <c r="S135" s="21" t="n"/>
      <c r="T135" s="67" t="n"/>
      <c r="V135" s="21" t="n"/>
    </row>
    <row r="136" ht="15.75" customHeight="1" s="102">
      <c r="A136" s="13">
        <f>IF(B136="","-",IF(COUNTIF(E.DETACHED!B:B,B136)+COUNTIF('A.S.PRINTOUT'!B:B,B136)&gt;1,COUNTIF(E.DETACHED!B:B,B136)+COUNTIF('A.S.PRINTOUT'!B:B,B136)-1,"-"))</f>
        <v/>
      </c>
      <c r="C136" s="21" t="n"/>
      <c r="D136" s="66" t="n"/>
      <c r="E136" s="67" t="n"/>
      <c r="K136" s="21" t="n"/>
      <c r="S136" s="21" t="n"/>
      <c r="T136" s="67" t="n"/>
      <c r="V136" s="21" t="n"/>
    </row>
    <row r="137" ht="15.75" customHeight="1" s="102">
      <c r="A137" s="13">
        <f>IF(B137="","-",IF(COUNTIF(E.DETACHED!B:B,B137)+COUNTIF('A.S.PRINTOUT'!B:B,B137)&gt;1,COUNTIF(E.DETACHED!B:B,B137)+COUNTIF('A.S.PRINTOUT'!B:B,B137)-1,"-"))</f>
        <v/>
      </c>
      <c r="C137" s="21" t="n"/>
      <c r="D137" s="66" t="n"/>
      <c r="E137" s="67" t="n"/>
      <c r="K137" s="21" t="n"/>
      <c r="S137" s="21" t="n"/>
      <c r="T137" s="67" t="n"/>
      <c r="V137" s="21" t="n"/>
    </row>
    <row r="138" ht="15.75" customHeight="1" s="102">
      <c r="A138" s="13">
        <f>IF(B138="","-",IF(COUNTIF(E.DETACHED!B:B,B138)+COUNTIF('A.S.PRINTOUT'!B:B,B138)&gt;1,COUNTIF(E.DETACHED!B:B,B138)+COUNTIF('A.S.PRINTOUT'!B:B,B138)-1,"-"))</f>
        <v/>
      </c>
      <c r="C138" s="21" t="n"/>
      <c r="D138" s="66" t="n"/>
      <c r="E138" s="67" t="n"/>
      <c r="K138" s="21" t="n"/>
      <c r="S138" s="21" t="n"/>
      <c r="T138" s="67" t="n"/>
      <c r="V138" s="21" t="n"/>
    </row>
    <row r="139" ht="15.75" customHeight="1" s="102">
      <c r="A139" s="13">
        <f>IF(B139="","-",IF(COUNTIF(E.DETACHED!B:B,B139)+COUNTIF('A.S.PRINTOUT'!B:B,B139)&gt;1,COUNTIF(E.DETACHED!B:B,B139)+COUNTIF('A.S.PRINTOUT'!B:B,B139)-1,"-"))</f>
        <v/>
      </c>
      <c r="C139" s="21" t="n"/>
      <c r="D139" s="66" t="n"/>
      <c r="E139" s="67" t="n"/>
      <c r="K139" s="21" t="n"/>
      <c r="S139" s="21" t="n"/>
      <c r="T139" s="67" t="n"/>
      <c r="V139" s="21" t="n"/>
    </row>
    <row r="140" ht="15.75" customHeight="1" s="102">
      <c r="A140" s="13">
        <f>IF(B140="","-",IF(COUNTIF(E.DETACHED!B:B,B140)+COUNTIF('A.S.PRINTOUT'!B:B,B140)&gt;1,COUNTIF(E.DETACHED!B:B,B140)+COUNTIF('A.S.PRINTOUT'!B:B,B140)-1,"-"))</f>
        <v/>
      </c>
      <c r="C140" s="21" t="n"/>
      <c r="D140" s="66" t="n"/>
      <c r="E140" s="67" t="n"/>
      <c r="K140" s="21" t="n"/>
      <c r="S140" s="21" t="n"/>
      <c r="T140" s="67" t="n"/>
      <c r="V140" s="21" t="n"/>
    </row>
    <row r="141" ht="15.75" customHeight="1" s="102">
      <c r="A141" s="13">
        <f>IF(B141="","-",IF(COUNTIF(E.DETACHED!B:B,B141)+COUNTIF('A.S.PRINTOUT'!B:B,B141)&gt;1,COUNTIF(E.DETACHED!B:B,B141)+COUNTIF('A.S.PRINTOUT'!B:B,B141)-1,"-"))</f>
        <v/>
      </c>
      <c r="C141" s="21" t="n"/>
      <c r="D141" s="66" t="n"/>
      <c r="E141" s="67" t="n"/>
      <c r="K141" s="21" t="n"/>
      <c r="S141" s="21" t="n"/>
      <c r="T141" s="67" t="n"/>
      <c r="V141" s="21" t="n"/>
    </row>
    <row r="142" ht="15.75" customHeight="1" s="102">
      <c r="A142" s="13">
        <f>IF(B142="","-",IF(COUNTIF(E.DETACHED!B:B,B142)+COUNTIF('A.S.PRINTOUT'!B:B,B142)&gt;1,COUNTIF(E.DETACHED!B:B,B142)+COUNTIF('A.S.PRINTOUT'!B:B,B142)-1,"-"))</f>
        <v/>
      </c>
      <c r="C142" s="21" t="n"/>
      <c r="D142" s="66" t="n"/>
      <c r="E142" s="67" t="n"/>
      <c r="K142" s="21" t="n"/>
      <c r="S142" s="21" t="n"/>
      <c r="T142" s="67" t="n"/>
      <c r="V142" s="21" t="n"/>
    </row>
    <row r="143" ht="15.75" customHeight="1" s="102">
      <c r="A143" s="13">
        <f>IF(B143="","-",IF(COUNTIF(E.DETACHED!B:B,B143)+COUNTIF('A.S.PRINTOUT'!B:B,B143)&gt;1,COUNTIF(E.DETACHED!B:B,B143)+COUNTIF('A.S.PRINTOUT'!B:B,B143)-1,"-"))</f>
        <v/>
      </c>
      <c r="C143" s="21" t="n"/>
      <c r="D143" s="66" t="n"/>
      <c r="E143" s="67" t="n"/>
      <c r="K143" s="21" t="n"/>
      <c r="S143" s="21" t="n"/>
      <c r="T143" s="67" t="n"/>
      <c r="V143" s="21" t="n"/>
    </row>
    <row r="144" ht="15.75" customHeight="1" s="102">
      <c r="A144" s="13">
        <f>IF(B144="","-",IF(COUNTIF(E.DETACHED!B:B,B144)+COUNTIF('A.S.PRINTOUT'!B:B,B144)&gt;1,COUNTIF(E.DETACHED!B:B,B144)+COUNTIF('A.S.PRINTOUT'!B:B,B144)-1,"-"))</f>
        <v/>
      </c>
      <c r="C144" s="21" t="n"/>
      <c r="D144" s="66" t="n"/>
      <c r="E144" s="67" t="n"/>
      <c r="K144" s="21" t="n"/>
      <c r="S144" s="21" t="n"/>
      <c r="T144" s="67" t="n"/>
      <c r="V144" s="21" t="n"/>
    </row>
    <row r="145" ht="15.75" customHeight="1" s="102">
      <c r="A145" s="13">
        <f>IF(B145="","-",IF(COUNTIF(E.DETACHED!B:B,B145)+COUNTIF('A.S.PRINTOUT'!B:B,B145)&gt;1,COUNTIF(E.DETACHED!B:B,B145)+COUNTIF('A.S.PRINTOUT'!B:B,B145)-1,"-"))</f>
        <v/>
      </c>
      <c r="C145" s="21" t="n"/>
      <c r="D145" s="66" t="n"/>
      <c r="E145" s="67" t="n"/>
      <c r="K145" s="21" t="n"/>
      <c r="S145" s="21" t="n"/>
      <c r="T145" s="67" t="n"/>
      <c r="V145" s="21" t="n"/>
    </row>
    <row r="146" ht="15.75" customHeight="1" s="102">
      <c r="A146" s="13">
        <f>IF(B146="","-",IF(COUNTIF(E.DETACHED!B:B,B146)+COUNTIF('A.S.PRINTOUT'!B:B,B146)&gt;1,COUNTIF(E.DETACHED!B:B,B146)+COUNTIF('A.S.PRINTOUT'!B:B,B146)-1,"-"))</f>
        <v/>
      </c>
      <c r="C146" s="21" t="n"/>
      <c r="D146" s="66" t="n"/>
      <c r="E146" s="67" t="n"/>
      <c r="K146" s="21" t="n"/>
      <c r="S146" s="21" t="n"/>
      <c r="T146" s="67" t="n"/>
      <c r="V146" s="21" t="n"/>
    </row>
    <row r="147" ht="15.75" customHeight="1" s="102">
      <c r="A147" s="13">
        <f>IF(B147="","-",IF(COUNTIF(E.DETACHED!B:B,B147)+COUNTIF('A.S.PRINTOUT'!B:B,B147)&gt;1,COUNTIF(E.DETACHED!B:B,B147)+COUNTIF('A.S.PRINTOUT'!B:B,B147)-1,"-"))</f>
        <v/>
      </c>
      <c r="C147" s="21" t="n"/>
      <c r="D147" s="66" t="n"/>
      <c r="E147" s="67" t="n"/>
      <c r="K147" s="21" t="n"/>
      <c r="S147" s="21" t="n"/>
      <c r="T147" s="67" t="n"/>
      <c r="V147" s="21" t="n"/>
    </row>
    <row r="148" ht="15.75" customHeight="1" s="102">
      <c r="A148" s="13">
        <f>IF(B148="","-",IF(COUNTIF(E.DETACHED!B:B,B148)+COUNTIF('A.S.PRINTOUT'!B:B,B148)&gt;1,COUNTIF(E.DETACHED!B:B,B148)+COUNTIF('A.S.PRINTOUT'!B:B,B148)-1,"-"))</f>
        <v/>
      </c>
      <c r="C148" s="21" t="n"/>
      <c r="D148" s="66" t="n"/>
      <c r="E148" s="67" t="n"/>
      <c r="K148" s="21" t="n"/>
      <c r="S148" s="21" t="n"/>
      <c r="T148" s="67" t="n"/>
      <c r="V148" s="21" t="n"/>
    </row>
    <row r="149" ht="15.75" customHeight="1" s="102">
      <c r="A149" s="13">
        <f>IF(B149="","-",IF(COUNTIF(E.DETACHED!B:B,B149)+COUNTIF('A.S.PRINTOUT'!B:B,B149)&gt;1,COUNTIF(E.DETACHED!B:B,B149)+COUNTIF('A.S.PRINTOUT'!B:B,B149)-1,"-"))</f>
        <v/>
      </c>
      <c r="C149" s="21" t="n"/>
      <c r="D149" s="66" t="n"/>
      <c r="E149" s="67" t="n"/>
      <c r="K149" s="21" t="n"/>
      <c r="S149" s="21" t="n"/>
      <c r="T149" s="67" t="n"/>
      <c r="V149" s="21" t="n"/>
    </row>
    <row r="150" ht="15.75" customHeight="1" s="102">
      <c r="A150" s="13">
        <f>IF(B150="","-",IF(COUNTIF(E.DETACHED!B:B,B150)+COUNTIF('A.S.PRINTOUT'!B:B,B150)&gt;1,COUNTIF(E.DETACHED!B:B,B150)+COUNTIF('A.S.PRINTOUT'!B:B,B150)-1,"-"))</f>
        <v/>
      </c>
      <c r="C150" s="21" t="n"/>
      <c r="D150" s="66" t="n"/>
      <c r="E150" s="67" t="n"/>
      <c r="K150" s="21" t="n"/>
      <c r="S150" s="21" t="n"/>
      <c r="T150" s="67" t="n"/>
      <c r="V150" s="21" t="n"/>
    </row>
    <row r="151" ht="15.75" customHeight="1" s="102">
      <c r="A151" s="13">
        <f>IF(B151="","-",IF(COUNTIF(E.DETACHED!B:B,B151)+COUNTIF('A.S.PRINTOUT'!B:B,B151)&gt;1,COUNTIF(E.DETACHED!B:B,B151)+COUNTIF('A.S.PRINTOUT'!B:B,B151)-1,"-"))</f>
        <v/>
      </c>
      <c r="C151" s="21" t="n"/>
      <c r="D151" s="66" t="n"/>
      <c r="E151" s="67" t="n"/>
      <c r="K151" s="21" t="n"/>
      <c r="S151" s="21" t="n"/>
      <c r="T151" s="67" t="n"/>
      <c r="V151" s="21" t="n"/>
    </row>
    <row r="152" ht="15.75" customHeight="1" s="102">
      <c r="A152" s="13">
        <f>IF(B152="","-",IF(COUNTIF(E.DETACHED!B:B,B152)+COUNTIF('A.S.PRINTOUT'!B:B,B152)&gt;1,COUNTIF(E.DETACHED!B:B,B152)+COUNTIF('A.S.PRINTOUT'!B:B,B152)-1,"-"))</f>
        <v/>
      </c>
      <c r="C152" s="21" t="n"/>
      <c r="D152" s="66" t="n"/>
      <c r="E152" s="67" t="n"/>
      <c r="K152" s="21" t="n"/>
      <c r="S152" s="21" t="n"/>
      <c r="T152" s="67" t="n"/>
      <c r="V152" s="21" t="n"/>
    </row>
    <row r="153" ht="15.75" customHeight="1" s="102">
      <c r="A153" s="13">
        <f>IF(B153="","-",IF(COUNTIF(E.DETACHED!B:B,B153)+COUNTIF('A.S.PRINTOUT'!B:B,B153)&gt;1,COUNTIF(E.DETACHED!B:B,B153)+COUNTIF('A.S.PRINTOUT'!B:B,B153)-1,"-"))</f>
        <v/>
      </c>
      <c r="C153" s="21" t="n"/>
      <c r="D153" s="66" t="n"/>
      <c r="E153" s="67" t="n"/>
      <c r="K153" s="21" t="n"/>
      <c r="S153" s="21" t="n"/>
      <c r="T153" s="67" t="n"/>
      <c r="V153" s="21" t="n"/>
    </row>
    <row r="154" ht="15.75" customHeight="1" s="102">
      <c r="A154" s="13">
        <f>IF(B154="","-",IF(COUNTIF(E.DETACHED!B:B,B154)+COUNTIF('A.S.PRINTOUT'!B:B,B154)&gt;1,COUNTIF(E.DETACHED!B:B,B154)+COUNTIF('A.S.PRINTOUT'!B:B,B154)-1,"-"))</f>
        <v/>
      </c>
      <c r="C154" s="21" t="n"/>
      <c r="D154" s="66" t="n"/>
      <c r="E154" s="67" t="n"/>
      <c r="K154" s="21" t="n"/>
      <c r="S154" s="21" t="n"/>
      <c r="T154" s="67" t="n"/>
      <c r="V154" s="21" t="n"/>
    </row>
    <row r="155" ht="15.75" customHeight="1" s="102">
      <c r="A155" s="13">
        <f>IF(B155="","-",IF(COUNTIF(E.DETACHED!B:B,B155)+COUNTIF('A.S.PRINTOUT'!B:B,B155)&gt;1,COUNTIF(E.DETACHED!B:B,B155)+COUNTIF('A.S.PRINTOUT'!B:B,B155)-1,"-"))</f>
        <v/>
      </c>
      <c r="C155" s="21" t="n"/>
      <c r="D155" s="66" t="n"/>
      <c r="E155" s="67" t="n"/>
      <c r="K155" s="21" t="n"/>
      <c r="S155" s="21" t="n"/>
      <c r="T155" s="67" t="n"/>
      <c r="V155" s="21" t="n"/>
    </row>
    <row r="156" ht="15.75" customHeight="1" s="102">
      <c r="A156" s="13">
        <f>IF(B156="","-",IF(COUNTIF(E.DETACHED!B:B,B156)+COUNTIF('A.S.PRINTOUT'!B:B,B156)&gt;1,COUNTIF(E.DETACHED!B:B,B156)+COUNTIF('A.S.PRINTOUT'!B:B,B156)-1,"-"))</f>
        <v/>
      </c>
      <c r="C156" s="21" t="n"/>
      <c r="D156" s="66" t="n"/>
      <c r="E156" s="67" t="n"/>
      <c r="K156" s="21" t="n"/>
      <c r="S156" s="21" t="n"/>
      <c r="T156" s="67" t="n"/>
      <c r="V156" s="21" t="n"/>
    </row>
    <row r="157" ht="15.75" customHeight="1" s="102">
      <c r="A157" s="13">
        <f>IF(B157="","-",IF(COUNTIF(E.DETACHED!B:B,B157)+COUNTIF('A.S.PRINTOUT'!B:B,B157)&gt;1,COUNTIF(E.DETACHED!B:B,B157)+COUNTIF('A.S.PRINTOUT'!B:B,B157)-1,"-"))</f>
        <v/>
      </c>
      <c r="C157" s="21" t="n"/>
      <c r="D157" s="66" t="n"/>
      <c r="E157" s="67" t="n"/>
      <c r="K157" s="21" t="n"/>
      <c r="S157" s="21" t="n"/>
      <c r="T157" s="67" t="n"/>
      <c r="V157" s="21" t="n"/>
    </row>
    <row r="158" ht="15.75" customHeight="1" s="102">
      <c r="A158" s="13">
        <f>IF(B158="","-",IF(COUNTIF(E.DETACHED!B:B,B158)+COUNTIF('A.S.PRINTOUT'!B:B,B158)&gt;1,COUNTIF(E.DETACHED!B:B,B158)+COUNTIF('A.S.PRINTOUT'!B:B,B158)-1,"-"))</f>
        <v/>
      </c>
      <c r="C158" s="21" t="n"/>
      <c r="D158" s="66" t="n"/>
      <c r="E158" s="67" t="n"/>
      <c r="K158" s="21" t="n"/>
      <c r="S158" s="21" t="n"/>
      <c r="T158" s="67" t="n"/>
      <c r="V158" s="21" t="n"/>
    </row>
    <row r="159" ht="15.75" customHeight="1" s="102">
      <c r="A159" s="13">
        <f>IF(B159="","-",IF(COUNTIF(E.DETACHED!B:B,B159)+COUNTIF('A.S.PRINTOUT'!B:B,B159)&gt;1,COUNTIF(E.DETACHED!B:B,B159)+COUNTIF('A.S.PRINTOUT'!B:B,B159)-1,"-"))</f>
        <v/>
      </c>
      <c r="C159" s="21" t="n"/>
      <c r="D159" s="66" t="n"/>
      <c r="E159" s="67" t="n"/>
      <c r="K159" s="21" t="n"/>
      <c r="S159" s="21" t="n"/>
      <c r="T159" s="67" t="n"/>
      <c r="V159" s="21" t="n"/>
    </row>
    <row r="160" ht="15.75" customHeight="1" s="102">
      <c r="A160" s="13">
        <f>IF(B160="","-",IF(COUNTIF(E.DETACHED!B:B,B160)+COUNTIF('A.S.PRINTOUT'!B:B,B160)&gt;1,COUNTIF(E.DETACHED!B:B,B160)+COUNTIF('A.S.PRINTOUT'!B:B,B160)-1,"-"))</f>
        <v/>
      </c>
      <c r="C160" s="21" t="n"/>
      <c r="D160" s="66" t="n"/>
      <c r="E160" s="67" t="n"/>
      <c r="K160" s="21" t="n"/>
      <c r="S160" s="21" t="n"/>
      <c r="T160" s="67" t="n"/>
      <c r="V160" s="21" t="n"/>
    </row>
    <row r="161" ht="15.75" customHeight="1" s="102">
      <c r="A161" s="13">
        <f>IF(B161="","-",IF(COUNTIF(E.DETACHED!B:B,B161)+COUNTIF('A.S.PRINTOUT'!B:B,B161)&gt;1,COUNTIF(E.DETACHED!B:B,B161)+COUNTIF('A.S.PRINTOUT'!B:B,B161)-1,"-"))</f>
        <v/>
      </c>
      <c r="C161" s="21" t="n"/>
      <c r="D161" s="66" t="n"/>
      <c r="E161" s="67" t="n"/>
      <c r="K161" s="21" t="n"/>
      <c r="S161" s="21" t="n"/>
      <c r="T161" s="67" t="n"/>
      <c r="V161" s="21" t="n"/>
    </row>
    <row r="162" ht="15.75" customHeight="1" s="102">
      <c r="A162" s="13">
        <f>IF(B162="","-",IF(COUNTIF(E.DETACHED!B:B,B162)+COUNTIF('A.S.PRINTOUT'!B:B,B162)&gt;1,COUNTIF(E.DETACHED!B:B,B162)+COUNTIF('A.S.PRINTOUT'!B:B,B162)-1,"-"))</f>
        <v/>
      </c>
      <c r="C162" s="21" t="n"/>
      <c r="D162" s="66" t="n"/>
      <c r="E162" s="67" t="n"/>
      <c r="K162" s="21" t="n"/>
      <c r="S162" s="21" t="n"/>
      <c r="T162" s="67" t="n"/>
      <c r="V162" s="21" t="n"/>
    </row>
    <row r="163" ht="15.75" customHeight="1" s="102">
      <c r="A163" s="13">
        <f>IF(B163="","-",IF(COUNTIF(E.DETACHED!B:B,B163)+COUNTIF('A.S.PRINTOUT'!B:B,B163)&gt;1,COUNTIF(E.DETACHED!B:B,B163)+COUNTIF('A.S.PRINTOUT'!B:B,B163)-1,"-"))</f>
        <v/>
      </c>
      <c r="C163" s="21" t="n"/>
      <c r="D163" s="66" t="n"/>
      <c r="E163" s="67" t="n"/>
      <c r="K163" s="21" t="n"/>
      <c r="S163" s="21" t="n"/>
      <c r="T163" s="67" t="n"/>
      <c r="V163" s="21" t="n"/>
    </row>
    <row r="164" ht="15.75" customHeight="1" s="102">
      <c r="A164" s="13">
        <f>IF(B164="","-",IF(COUNTIF(E.DETACHED!B:B,B164)+COUNTIF('A.S.PRINTOUT'!B:B,B164)&gt;1,COUNTIF(E.DETACHED!B:B,B164)+COUNTIF('A.S.PRINTOUT'!B:B,B164)-1,"-"))</f>
        <v/>
      </c>
      <c r="C164" s="21" t="n"/>
      <c r="D164" s="66" t="n"/>
      <c r="E164" s="67" t="n"/>
      <c r="K164" s="21" t="n"/>
      <c r="S164" s="21" t="n"/>
      <c r="T164" s="67" t="n"/>
      <c r="V164" s="21" t="n"/>
    </row>
    <row r="165" ht="15.75" customHeight="1" s="102">
      <c r="A165" s="13">
        <f>IF(B165="","-",IF(COUNTIF(E.DETACHED!B:B,B165)+COUNTIF('A.S.PRINTOUT'!B:B,B165)&gt;1,COUNTIF(E.DETACHED!B:B,B165)+COUNTIF('A.S.PRINTOUT'!B:B,B165)-1,"-"))</f>
        <v/>
      </c>
      <c r="C165" s="21" t="n"/>
      <c r="D165" s="66" t="n"/>
      <c r="E165" s="67" t="n"/>
      <c r="K165" s="21" t="n"/>
      <c r="S165" s="21" t="n"/>
      <c r="T165" s="67" t="n"/>
      <c r="V165" s="21" t="n"/>
    </row>
    <row r="166" ht="15.75" customHeight="1" s="102">
      <c r="A166" s="13">
        <f>IF(B166="","-",IF(COUNTIF(E.DETACHED!B:B,B166)+COUNTIF('A.S.PRINTOUT'!B:B,B166)&gt;1,COUNTIF(E.DETACHED!B:B,B166)+COUNTIF('A.S.PRINTOUT'!B:B,B166)-1,"-"))</f>
        <v/>
      </c>
      <c r="C166" s="21" t="n"/>
      <c r="D166" s="66" t="n"/>
      <c r="E166" s="67" t="n"/>
      <c r="K166" s="21" t="n"/>
      <c r="S166" s="21" t="n"/>
      <c r="T166" s="67" t="n"/>
      <c r="V166" s="21" t="n"/>
    </row>
    <row r="167" ht="15.75" customHeight="1" s="102">
      <c r="A167" s="13">
        <f>IF(B167="","-",IF(COUNTIF(E.DETACHED!B:B,B167)+COUNTIF('A.S.PRINTOUT'!B:B,B167)&gt;1,COUNTIF(E.DETACHED!B:B,B167)+COUNTIF('A.S.PRINTOUT'!B:B,B167)-1,"-"))</f>
        <v/>
      </c>
      <c r="C167" s="21" t="n"/>
      <c r="D167" s="66" t="n"/>
      <c r="E167" s="67" t="n"/>
      <c r="K167" s="21" t="n"/>
      <c r="S167" s="21" t="n"/>
      <c r="T167" s="67" t="n"/>
      <c r="V167" s="21" t="n"/>
    </row>
    <row r="168" ht="15.75" customHeight="1" s="102">
      <c r="A168" s="13">
        <f>IF(B168="","-",IF(COUNTIF(E.DETACHED!B:B,B168)+COUNTIF('A.S.PRINTOUT'!B:B,B168)&gt;1,COUNTIF(E.DETACHED!B:B,B168)+COUNTIF('A.S.PRINTOUT'!B:B,B168)-1,"-"))</f>
        <v/>
      </c>
      <c r="C168" s="21" t="n"/>
      <c r="D168" s="66" t="n"/>
      <c r="E168" s="67" t="n"/>
      <c r="K168" s="21" t="n"/>
      <c r="S168" s="21" t="n"/>
      <c r="T168" s="67" t="n"/>
      <c r="V168" s="21" t="n"/>
    </row>
    <row r="169" ht="15.75" customHeight="1" s="102">
      <c r="A169" s="13">
        <f>IF(B169="","-",IF(COUNTIF(E.DETACHED!B:B,B169)+COUNTIF('A.S.PRINTOUT'!B:B,B169)&gt;1,COUNTIF(E.DETACHED!B:B,B169)+COUNTIF('A.S.PRINTOUT'!B:B,B169)-1,"-"))</f>
        <v/>
      </c>
      <c r="C169" s="21" t="n"/>
      <c r="D169" s="66" t="n"/>
      <c r="E169" s="67" t="n"/>
      <c r="K169" s="21" t="n"/>
      <c r="S169" s="21" t="n"/>
      <c r="T169" s="67" t="n"/>
      <c r="V169" s="21" t="n"/>
    </row>
    <row r="170" ht="15.75" customHeight="1" s="102">
      <c r="A170" s="13">
        <f>IF(B170="","-",IF(COUNTIF(E.DETACHED!B:B,B170)+COUNTIF('A.S.PRINTOUT'!B:B,B170)&gt;1,COUNTIF(E.DETACHED!B:B,B170)+COUNTIF('A.S.PRINTOUT'!B:B,B170)-1,"-"))</f>
        <v/>
      </c>
      <c r="C170" s="21" t="n"/>
      <c r="D170" s="66" t="n"/>
      <c r="E170" s="67" t="n"/>
      <c r="K170" s="21" t="n"/>
      <c r="S170" s="21" t="n"/>
      <c r="T170" s="67" t="n"/>
      <c r="V170" s="21" t="n"/>
    </row>
    <row r="171" ht="15.75" customHeight="1" s="102">
      <c r="A171" s="13">
        <f>IF(B171="","-",IF(COUNTIF(E.DETACHED!B:B,B171)+COUNTIF('A.S.PRINTOUT'!B:B,B171)&gt;1,COUNTIF(E.DETACHED!B:B,B171)+COUNTIF('A.S.PRINTOUT'!B:B,B171)-1,"-"))</f>
        <v/>
      </c>
      <c r="C171" s="21" t="n"/>
      <c r="D171" s="66" t="n"/>
      <c r="E171" s="67" t="n"/>
      <c r="K171" s="21" t="n"/>
      <c r="S171" s="21" t="n"/>
      <c r="T171" s="67" t="n"/>
      <c r="V171" s="21" t="n"/>
    </row>
    <row r="172" ht="15.75" customHeight="1" s="102">
      <c r="A172" s="13">
        <f>IF(B172="","-",IF(COUNTIF(E.DETACHED!B:B,B172)+COUNTIF('A.S.PRINTOUT'!B:B,B172)&gt;1,COUNTIF(E.DETACHED!B:B,B172)+COUNTIF('A.S.PRINTOUT'!B:B,B172)-1,"-"))</f>
        <v/>
      </c>
      <c r="C172" s="21" t="n"/>
      <c r="D172" s="66" t="n"/>
      <c r="E172" s="67" t="n"/>
      <c r="K172" s="21" t="n"/>
      <c r="S172" s="21" t="n"/>
      <c r="T172" s="67" t="n"/>
      <c r="V172" s="21" t="n"/>
    </row>
    <row r="173" ht="15.75" customHeight="1" s="102">
      <c r="A173" s="13">
        <f>IF(B173="","-",IF(COUNTIF(E.DETACHED!B:B,B173)+COUNTIF('A.S.PRINTOUT'!B:B,B173)&gt;1,COUNTIF(E.DETACHED!B:B,B173)+COUNTIF('A.S.PRINTOUT'!B:B,B173)-1,"-"))</f>
        <v/>
      </c>
      <c r="C173" s="21" t="n"/>
      <c r="D173" s="66" t="n"/>
      <c r="E173" s="67" t="n"/>
      <c r="K173" s="21" t="n"/>
      <c r="S173" s="21" t="n"/>
      <c r="T173" s="67" t="n"/>
      <c r="V173" s="21" t="n"/>
    </row>
    <row r="174" ht="15.75" customHeight="1" s="102">
      <c r="A174" s="13">
        <f>IF(B174="","-",IF(COUNTIF(E.DETACHED!B:B,B174)+COUNTIF('A.S.PRINTOUT'!B:B,B174)&gt;1,COUNTIF(E.DETACHED!B:B,B174)+COUNTIF('A.S.PRINTOUT'!B:B,B174)-1,"-"))</f>
        <v/>
      </c>
      <c r="C174" s="21" t="n"/>
      <c r="D174" s="66" t="n"/>
      <c r="E174" s="67" t="n"/>
      <c r="K174" s="21" t="n"/>
      <c r="S174" s="21" t="n"/>
      <c r="T174" s="67" t="n"/>
      <c r="V174" s="21" t="n"/>
    </row>
    <row r="175" ht="15.75" customHeight="1" s="102">
      <c r="A175" s="13">
        <f>IF(B175="","-",IF(COUNTIF(E.DETACHED!B:B,B175)+COUNTIF('A.S.PRINTOUT'!B:B,B175)&gt;1,COUNTIF(E.DETACHED!B:B,B175)+COUNTIF('A.S.PRINTOUT'!B:B,B175)-1,"-"))</f>
        <v/>
      </c>
      <c r="C175" s="21" t="n"/>
      <c r="D175" s="66" t="n"/>
      <c r="E175" s="67" t="n"/>
      <c r="K175" s="21" t="n"/>
      <c r="S175" s="21" t="n"/>
      <c r="T175" s="67" t="n"/>
      <c r="V175" s="21" t="n"/>
    </row>
    <row r="176" ht="15.75" customHeight="1" s="102">
      <c r="A176" s="13">
        <f>IF(B176="","-",IF(COUNTIF(E.DETACHED!B:B,B176)+COUNTIF('A.S.PRINTOUT'!B:B,B176)&gt;1,COUNTIF(E.DETACHED!B:B,B176)+COUNTIF('A.S.PRINTOUT'!B:B,B176)-1,"-"))</f>
        <v/>
      </c>
      <c r="C176" s="21" t="n"/>
      <c r="D176" s="66" t="n"/>
      <c r="E176" s="67" t="n"/>
      <c r="K176" s="21" t="n"/>
      <c r="S176" s="21" t="n"/>
      <c r="T176" s="67" t="n"/>
      <c r="V176" s="21" t="n"/>
    </row>
    <row r="177" ht="15.75" customHeight="1" s="102">
      <c r="A177" s="13">
        <f>IF(B177="","-",IF(COUNTIF(E.DETACHED!B:B,B177)+COUNTIF('A.S.PRINTOUT'!B:B,B177)&gt;1,COUNTIF(E.DETACHED!B:B,B177)+COUNTIF('A.S.PRINTOUT'!B:B,B177)-1,"-"))</f>
        <v/>
      </c>
      <c r="C177" s="21" t="n"/>
      <c r="D177" s="66" t="n"/>
      <c r="E177" s="67" t="n"/>
      <c r="K177" s="21" t="n"/>
      <c r="S177" s="21" t="n"/>
      <c r="T177" s="67" t="n"/>
      <c r="V177" s="21" t="n"/>
    </row>
    <row r="178" ht="15.75" customHeight="1" s="102">
      <c r="A178" s="13">
        <f>IF(B178="","-",IF(COUNTIF(E.DETACHED!B:B,B178)+COUNTIF('A.S.PRINTOUT'!B:B,B178)&gt;1,COUNTIF(E.DETACHED!B:B,B178)+COUNTIF('A.S.PRINTOUT'!B:B,B178)-1,"-"))</f>
        <v/>
      </c>
      <c r="C178" s="21" t="n"/>
      <c r="D178" s="66" t="n"/>
      <c r="E178" s="67" t="n"/>
      <c r="K178" s="21" t="n"/>
      <c r="S178" s="21" t="n"/>
      <c r="T178" s="67" t="n"/>
      <c r="V178" s="21" t="n"/>
    </row>
    <row r="179" ht="15.75" customHeight="1" s="102">
      <c r="A179" s="13">
        <f>IF(B179="","-",IF(COUNTIF(E.DETACHED!B:B,B179)+COUNTIF('A.S.PRINTOUT'!B:B,B179)&gt;1,COUNTIF(E.DETACHED!B:B,B179)+COUNTIF('A.S.PRINTOUT'!B:B,B179)-1,"-"))</f>
        <v/>
      </c>
      <c r="C179" s="21" t="n"/>
      <c r="D179" s="66" t="n"/>
      <c r="E179" s="67" t="n"/>
      <c r="K179" s="21" t="n"/>
      <c r="S179" s="21" t="n"/>
      <c r="T179" s="67" t="n"/>
      <c r="V179" s="21" t="n"/>
    </row>
    <row r="180" ht="15.75" customHeight="1" s="102">
      <c r="A180" s="13">
        <f>IF(B180="","-",IF(COUNTIF(E.DETACHED!B:B,B180)+COUNTIF('A.S.PRINTOUT'!B:B,B180)&gt;1,COUNTIF(E.DETACHED!B:B,B180)+COUNTIF('A.S.PRINTOUT'!B:B,B180)-1,"-"))</f>
        <v/>
      </c>
      <c r="C180" s="21" t="n"/>
      <c r="D180" s="66" t="n"/>
      <c r="E180" s="67" t="n"/>
      <c r="K180" s="21" t="n"/>
      <c r="S180" s="21" t="n"/>
      <c r="T180" s="67" t="n"/>
      <c r="V180" s="21" t="n"/>
    </row>
    <row r="181" ht="15.75" customHeight="1" s="102">
      <c r="A181" s="13">
        <f>IF(B181="","-",IF(COUNTIF(E.DETACHED!B:B,B181)+COUNTIF('A.S.PRINTOUT'!B:B,B181)&gt;1,COUNTIF(E.DETACHED!B:B,B181)+COUNTIF('A.S.PRINTOUT'!B:B,B181)-1,"-"))</f>
        <v/>
      </c>
      <c r="C181" s="21" t="n"/>
      <c r="D181" s="66" t="n"/>
      <c r="E181" s="67" t="n"/>
      <c r="K181" s="21" t="n"/>
      <c r="S181" s="21" t="n"/>
      <c r="T181" s="67" t="n"/>
      <c r="V181" s="21" t="n"/>
    </row>
    <row r="182" ht="15.75" customHeight="1" s="102">
      <c r="A182" s="13">
        <f>IF(B182="","-",IF(COUNTIF(E.DETACHED!B:B,B182)+COUNTIF('A.S.PRINTOUT'!B:B,B182)&gt;1,COUNTIF(E.DETACHED!B:B,B182)+COUNTIF('A.S.PRINTOUT'!B:B,B182)-1,"-"))</f>
        <v/>
      </c>
      <c r="C182" s="21" t="n"/>
      <c r="D182" s="66" t="n"/>
      <c r="E182" s="67" t="n"/>
      <c r="K182" s="21" t="n"/>
      <c r="S182" s="21" t="n"/>
      <c r="T182" s="67" t="n"/>
      <c r="V182" s="21" t="n"/>
    </row>
    <row r="183" ht="15.75" customHeight="1" s="102">
      <c r="A183" s="13">
        <f>IF(B183="","-",IF(COUNTIF(E.DETACHED!B:B,B183)+COUNTIF('A.S.PRINTOUT'!B:B,B183)&gt;1,COUNTIF(E.DETACHED!B:B,B183)+COUNTIF('A.S.PRINTOUT'!B:B,B183)-1,"-"))</f>
        <v/>
      </c>
      <c r="C183" s="21" t="n"/>
      <c r="D183" s="66" t="n"/>
      <c r="E183" s="67" t="n"/>
      <c r="K183" s="21" t="n"/>
      <c r="S183" s="21" t="n"/>
      <c r="T183" s="67" t="n"/>
      <c r="V183" s="21" t="n"/>
    </row>
    <row r="184" ht="15.75" customHeight="1" s="102">
      <c r="A184" s="13">
        <f>IF(B184="","-",IF(COUNTIF(E.DETACHED!B:B,B184)+COUNTIF('A.S.PRINTOUT'!B:B,B184)&gt;1,COUNTIF(E.DETACHED!B:B,B184)+COUNTIF('A.S.PRINTOUT'!B:B,B184)-1,"-"))</f>
        <v/>
      </c>
      <c r="C184" s="21" t="n"/>
      <c r="D184" s="66" t="n"/>
      <c r="E184" s="67" t="n"/>
      <c r="K184" s="21" t="n"/>
      <c r="S184" s="21" t="n"/>
      <c r="T184" s="67" t="n"/>
      <c r="V184" s="21" t="n"/>
    </row>
    <row r="185" ht="15.75" customHeight="1" s="102">
      <c r="A185" s="13">
        <f>IF(B185="","-",IF(COUNTIF(E.DETACHED!B:B,B185)+COUNTIF('A.S.PRINTOUT'!B:B,B185)&gt;1,COUNTIF(E.DETACHED!B:B,B185)+COUNTIF('A.S.PRINTOUT'!B:B,B185)-1,"-"))</f>
        <v/>
      </c>
      <c r="C185" s="21" t="n"/>
      <c r="D185" s="66" t="n"/>
      <c r="E185" s="67" t="n"/>
      <c r="K185" s="21" t="n"/>
      <c r="S185" s="21" t="n"/>
      <c r="T185" s="67" t="n"/>
      <c r="V185" s="21" t="n"/>
    </row>
    <row r="186" ht="15.75" customHeight="1" s="102">
      <c r="A186" s="13">
        <f>IF(B186="","-",IF(COUNTIF(E.DETACHED!B:B,B186)+COUNTIF('A.S.PRINTOUT'!B:B,B186)&gt;1,COUNTIF(E.DETACHED!B:B,B186)+COUNTIF('A.S.PRINTOUT'!B:B,B186)-1,"-"))</f>
        <v/>
      </c>
      <c r="C186" s="21" t="n"/>
      <c r="D186" s="66" t="n"/>
      <c r="E186" s="67" t="n"/>
      <c r="K186" s="21" t="n"/>
      <c r="S186" s="21" t="n"/>
      <c r="T186" s="67" t="n"/>
      <c r="V186" s="21" t="n"/>
    </row>
    <row r="187" ht="15.75" customHeight="1" s="102">
      <c r="A187" s="13">
        <f>IF(B187="","-",IF(COUNTIF(E.DETACHED!B:B,B187)+COUNTIF('A.S.PRINTOUT'!B:B,B187)&gt;1,COUNTIF(E.DETACHED!B:B,B187)+COUNTIF('A.S.PRINTOUT'!B:B,B187)-1,"-"))</f>
        <v/>
      </c>
      <c r="C187" s="21" t="n"/>
      <c r="D187" s="66" t="n"/>
      <c r="E187" s="67" t="n"/>
      <c r="K187" s="21" t="n"/>
      <c r="S187" s="21" t="n"/>
      <c r="T187" s="67" t="n"/>
      <c r="V187" s="21" t="n"/>
    </row>
    <row r="188" ht="15.75" customHeight="1" s="102">
      <c r="A188" s="13">
        <f>IF(B188="","-",IF(COUNTIF(E.DETACHED!B:B,B188)+COUNTIF('A.S.PRINTOUT'!B:B,B188)&gt;1,COUNTIF(E.DETACHED!B:B,B188)+COUNTIF('A.S.PRINTOUT'!B:B,B188)-1,"-"))</f>
        <v/>
      </c>
      <c r="C188" s="21" t="n"/>
      <c r="D188" s="66" t="n"/>
      <c r="E188" s="67" t="n"/>
      <c r="K188" s="21" t="n"/>
      <c r="S188" s="21" t="n"/>
      <c r="T188" s="67" t="n"/>
      <c r="V188" s="21" t="n"/>
    </row>
    <row r="189" ht="15.75" customHeight="1" s="102">
      <c r="A189" s="13">
        <f>IF(B189="","-",IF(COUNTIF(E.DETACHED!B:B,B189)+COUNTIF('A.S.PRINTOUT'!B:B,B189)&gt;1,COUNTIF(E.DETACHED!B:B,B189)+COUNTIF('A.S.PRINTOUT'!B:B,B189)-1,"-"))</f>
        <v/>
      </c>
      <c r="C189" s="21" t="n"/>
      <c r="D189" s="66" t="n"/>
      <c r="E189" s="67" t="n"/>
      <c r="K189" s="21" t="n"/>
      <c r="S189" s="21" t="n"/>
      <c r="T189" s="67" t="n"/>
      <c r="V189" s="21" t="n"/>
    </row>
    <row r="190" ht="15.75" customHeight="1" s="102">
      <c r="A190" s="13">
        <f>IF(B190="","-",IF(COUNTIF(E.DETACHED!B:B,B190)+COUNTIF('A.S.PRINTOUT'!B:B,B190)&gt;1,COUNTIF(E.DETACHED!B:B,B190)+COUNTIF('A.S.PRINTOUT'!B:B,B190)-1,"-"))</f>
        <v/>
      </c>
      <c r="C190" s="21" t="n"/>
      <c r="D190" s="66" t="n"/>
      <c r="E190" s="67" t="n"/>
      <c r="K190" s="21" t="n"/>
      <c r="S190" s="21" t="n"/>
      <c r="T190" s="67" t="n"/>
      <c r="V190" s="21" t="n"/>
    </row>
    <row r="191" ht="15.75" customHeight="1" s="102">
      <c r="A191" s="13">
        <f>IF(B191="","-",IF(COUNTIF(E.DETACHED!B:B,B191)+COUNTIF('A.S.PRINTOUT'!B:B,B191)&gt;1,COUNTIF(E.DETACHED!B:B,B191)+COUNTIF('A.S.PRINTOUT'!B:B,B191)-1,"-"))</f>
        <v/>
      </c>
      <c r="C191" s="21" t="n"/>
      <c r="D191" s="66" t="n"/>
      <c r="E191" s="67" t="n"/>
      <c r="K191" s="21" t="n"/>
      <c r="S191" s="21" t="n"/>
      <c r="T191" s="67" t="n"/>
      <c r="V191" s="21" t="n"/>
    </row>
    <row r="192" ht="15.75" customHeight="1" s="102">
      <c r="A192" s="13">
        <f>IF(B192="","-",IF(COUNTIF(E.DETACHED!B:B,B192)+COUNTIF('A.S.PRINTOUT'!B:B,B192)&gt;1,COUNTIF(E.DETACHED!B:B,B192)+COUNTIF('A.S.PRINTOUT'!B:B,B192)-1,"-"))</f>
        <v/>
      </c>
      <c r="C192" s="21" t="n"/>
      <c r="D192" s="66" t="n"/>
      <c r="E192" s="67" t="n"/>
      <c r="K192" s="21" t="n"/>
      <c r="S192" s="21" t="n"/>
      <c r="T192" s="67" t="n"/>
      <c r="V192" s="21" t="n"/>
    </row>
    <row r="193" ht="15.75" customHeight="1" s="102">
      <c r="A193" s="13">
        <f>IF(B193="","-",IF(COUNTIF(E.DETACHED!B:B,B193)+COUNTIF('A.S.PRINTOUT'!B:B,B193)&gt;1,COUNTIF(E.DETACHED!B:B,B193)+COUNTIF('A.S.PRINTOUT'!B:B,B193)-1,"-"))</f>
        <v/>
      </c>
      <c r="C193" s="21" t="n"/>
      <c r="D193" s="66" t="n"/>
      <c r="E193" s="67" t="n"/>
      <c r="K193" s="21" t="n"/>
      <c r="S193" s="21" t="n"/>
      <c r="T193" s="67" t="n"/>
      <c r="V193" s="21" t="n"/>
    </row>
    <row r="194" ht="15.75" customHeight="1" s="102">
      <c r="A194" s="13">
        <f>IF(B194="","-",IF(COUNTIF(E.DETACHED!B:B,B194)+COUNTIF('A.S.PRINTOUT'!B:B,B194)&gt;1,COUNTIF(E.DETACHED!B:B,B194)+COUNTIF('A.S.PRINTOUT'!B:B,B194)-1,"-"))</f>
        <v/>
      </c>
      <c r="C194" s="21" t="n"/>
      <c r="D194" s="66" t="n"/>
      <c r="E194" s="67" t="n"/>
      <c r="K194" s="21" t="n"/>
      <c r="S194" s="21" t="n"/>
      <c r="T194" s="67" t="n"/>
      <c r="V194" s="21" t="n"/>
    </row>
    <row r="195" ht="15.75" customHeight="1" s="102">
      <c r="A195" s="13">
        <f>IF(B195="","-",IF(COUNTIF(E.DETACHED!B:B,B195)+COUNTIF('A.S.PRINTOUT'!B:B,B195)&gt;1,COUNTIF(E.DETACHED!B:B,B195)+COUNTIF('A.S.PRINTOUT'!B:B,B195)-1,"-"))</f>
        <v/>
      </c>
      <c r="C195" s="21" t="n"/>
      <c r="D195" s="66" t="n"/>
      <c r="E195" s="67" t="n"/>
      <c r="K195" s="21" t="n"/>
      <c r="S195" s="21" t="n"/>
      <c r="T195" s="67" t="n"/>
      <c r="V195" s="21" t="n"/>
    </row>
    <row r="196" ht="15.75" customHeight="1" s="102">
      <c r="A196" s="13">
        <f>IF(B196="","-",IF(COUNTIF(E.DETACHED!B:B,B196)+COUNTIF('A.S.PRINTOUT'!B:B,B196)&gt;1,COUNTIF(E.DETACHED!B:B,B196)+COUNTIF('A.S.PRINTOUT'!B:B,B196)-1,"-"))</f>
        <v/>
      </c>
      <c r="C196" s="21" t="n"/>
      <c r="D196" s="66" t="n"/>
      <c r="E196" s="67" t="n"/>
      <c r="K196" s="21" t="n"/>
      <c r="S196" s="21" t="n"/>
      <c r="T196" s="67" t="n"/>
      <c r="V196" s="21" t="n"/>
    </row>
    <row r="197" ht="15.75" customHeight="1" s="102">
      <c r="A197" s="13">
        <f>IF(B197="","-",IF(COUNTIF(E.DETACHED!B:B,B197)+COUNTIF('A.S.PRINTOUT'!B:B,B197)&gt;1,COUNTIF(E.DETACHED!B:B,B197)+COUNTIF('A.S.PRINTOUT'!B:B,B197)-1,"-"))</f>
        <v/>
      </c>
      <c r="C197" s="21" t="n"/>
      <c r="D197" s="66" t="n"/>
      <c r="E197" s="67" t="n"/>
      <c r="K197" s="21" t="n"/>
      <c r="S197" s="21" t="n"/>
      <c r="T197" s="67" t="n"/>
      <c r="V197" s="21" t="n"/>
    </row>
    <row r="198" ht="15.75" customHeight="1" s="102">
      <c r="A198" s="13">
        <f>IF(B198="","-",IF(COUNTIF(E.DETACHED!B:B,B198)+COUNTIF('A.S.PRINTOUT'!B:B,B198)&gt;1,COUNTIF(E.DETACHED!B:B,B198)+COUNTIF('A.S.PRINTOUT'!B:B,B198)-1,"-"))</f>
        <v/>
      </c>
      <c r="C198" s="21" t="n"/>
      <c r="D198" s="66" t="n"/>
      <c r="E198" s="67" t="n"/>
      <c r="K198" s="21" t="n"/>
      <c r="S198" s="21" t="n"/>
      <c r="T198" s="67" t="n"/>
      <c r="V198" s="21" t="n"/>
    </row>
    <row r="199" ht="15.75" customHeight="1" s="102">
      <c r="A199" s="13">
        <f>IF(B199="","-",IF(COUNTIF(E.DETACHED!B:B,B199)+COUNTIF('A.S.PRINTOUT'!B:B,B199)&gt;1,COUNTIF(E.DETACHED!B:B,B199)+COUNTIF('A.S.PRINTOUT'!B:B,B199)-1,"-"))</f>
        <v/>
      </c>
      <c r="C199" s="21" t="n"/>
      <c r="D199" s="66" t="n"/>
      <c r="E199" s="67" t="n"/>
      <c r="K199" s="21" t="n"/>
      <c r="S199" s="21" t="n"/>
      <c r="T199" s="67" t="n"/>
      <c r="V199" s="21" t="n"/>
    </row>
    <row r="200" ht="15.75" customHeight="1" s="102">
      <c r="A200" s="13">
        <f>IF(B200="","-",IF(COUNTIF(E.DETACHED!B:B,B200)+COUNTIF('A.S.PRINTOUT'!B:B,B200)&gt;1,COUNTIF(E.DETACHED!B:B,B200)+COUNTIF('A.S.PRINTOUT'!B:B,B200)-1,"-"))</f>
        <v/>
      </c>
      <c r="C200" s="21" t="n"/>
      <c r="D200" s="66" t="n"/>
      <c r="E200" s="67" t="n"/>
      <c r="K200" s="21" t="n"/>
      <c r="S200" s="21" t="n"/>
      <c r="T200" s="67" t="n"/>
      <c r="V200" s="21" t="n"/>
    </row>
    <row r="201" ht="15.75" customHeight="1" s="102">
      <c r="A201" s="13">
        <f>IF(B201="","-",IF(COUNTIF(E.DETACHED!B:B,B201)+COUNTIF('A.S.PRINTOUT'!B:B,B201)&gt;1,COUNTIF(E.DETACHED!B:B,B201)+COUNTIF('A.S.PRINTOUT'!B:B,B201)-1,"-"))</f>
        <v/>
      </c>
      <c r="C201" s="21" t="n"/>
      <c r="D201" s="66" t="n"/>
      <c r="E201" s="67" t="n"/>
      <c r="K201" s="21" t="n"/>
      <c r="S201" s="21" t="n"/>
      <c r="T201" s="67" t="n"/>
      <c r="V201" s="21" t="n"/>
    </row>
    <row r="202" ht="15.75" customHeight="1" s="102">
      <c r="A202" s="13">
        <f>IF(B202="","-",IF(COUNTIF(E.DETACHED!B:B,B202)+COUNTIF('A.S.PRINTOUT'!B:B,B202)&gt;1,COUNTIF(E.DETACHED!B:B,B202)+COUNTIF('A.S.PRINTOUT'!B:B,B202)-1,"-"))</f>
        <v/>
      </c>
      <c r="C202" s="21" t="n"/>
      <c r="D202" s="66" t="n"/>
      <c r="E202" s="67" t="n"/>
      <c r="K202" s="21" t="n"/>
      <c r="S202" s="21" t="n"/>
      <c r="T202" s="67" t="n"/>
      <c r="V202" s="21" t="n"/>
    </row>
    <row r="203" ht="15.75" customHeight="1" s="102">
      <c r="A203" s="13">
        <f>IF(B203="","-",IF(COUNTIF(E.DETACHED!B:B,B203)+COUNTIF('A.S.PRINTOUT'!B:B,B203)&gt;1,COUNTIF(E.DETACHED!B:B,B203)+COUNTIF('A.S.PRINTOUT'!B:B,B203)-1,"-"))</f>
        <v/>
      </c>
      <c r="C203" s="21" t="n"/>
      <c r="D203" s="66" t="n"/>
      <c r="E203" s="67" t="n"/>
      <c r="K203" s="21" t="n"/>
      <c r="S203" s="21" t="n"/>
      <c r="T203" s="67" t="n"/>
      <c r="V203" s="21" t="n"/>
    </row>
    <row r="204" ht="15.75" customHeight="1" s="102">
      <c r="A204" s="13">
        <f>IF(B204="","-",IF(COUNTIF(E.DETACHED!B:B,B204)+COUNTIF('A.S.PRINTOUT'!B:B,B204)&gt;1,COUNTIF(E.DETACHED!B:B,B204)+COUNTIF('A.S.PRINTOUT'!B:B,B204)-1,"-"))</f>
        <v/>
      </c>
      <c r="C204" s="21" t="n"/>
      <c r="D204" s="66" t="n"/>
      <c r="E204" s="67" t="n"/>
      <c r="K204" s="21" t="n"/>
      <c r="S204" s="21" t="n"/>
      <c r="T204" s="67" t="n"/>
      <c r="V204" s="21" t="n"/>
    </row>
    <row r="205" ht="15.75" customHeight="1" s="102">
      <c r="A205" s="13">
        <f>IF(B205="","-",IF(COUNTIF(E.DETACHED!B:B,B205)+COUNTIF('A.S.PRINTOUT'!B:B,B205)&gt;1,COUNTIF(E.DETACHED!B:B,B205)+COUNTIF('A.S.PRINTOUT'!B:B,B205)-1,"-"))</f>
        <v/>
      </c>
      <c r="C205" s="21" t="n"/>
      <c r="D205" s="66" t="n"/>
      <c r="E205" s="67" t="n"/>
      <c r="K205" s="21" t="n"/>
      <c r="S205" s="21" t="n"/>
      <c r="T205" s="67" t="n"/>
      <c r="V205" s="21" t="n"/>
    </row>
    <row r="206" ht="15.75" customHeight="1" s="102">
      <c r="A206" s="13">
        <f>IF(B206="","-",IF(COUNTIF(E.DETACHED!B:B,B206)+COUNTIF('A.S.PRINTOUT'!B:B,B206)&gt;1,COUNTIF(E.DETACHED!B:B,B206)+COUNTIF('A.S.PRINTOUT'!B:B,B206)-1,"-"))</f>
        <v/>
      </c>
      <c r="C206" s="21" t="n"/>
      <c r="D206" s="66" t="n"/>
      <c r="E206" s="67" t="n"/>
      <c r="K206" s="21" t="n"/>
      <c r="S206" s="21" t="n"/>
      <c r="T206" s="67" t="n"/>
      <c r="V206" s="21" t="n"/>
    </row>
    <row r="207" ht="15.75" customHeight="1" s="102">
      <c r="A207" s="13">
        <f>IF(B207="","-",IF(COUNTIF(E.DETACHED!B:B,B207)+COUNTIF('A.S.PRINTOUT'!B:B,B207)&gt;1,COUNTIF(E.DETACHED!B:B,B207)+COUNTIF('A.S.PRINTOUT'!B:B,B207)-1,"-"))</f>
        <v/>
      </c>
      <c r="C207" s="21" t="n"/>
      <c r="D207" s="66" t="n"/>
      <c r="E207" s="67" t="n"/>
      <c r="K207" s="21" t="n"/>
      <c r="S207" s="21" t="n"/>
      <c r="T207" s="67" t="n"/>
      <c r="V207" s="21" t="n"/>
    </row>
    <row r="208" ht="15.75" customHeight="1" s="102">
      <c r="A208" s="13">
        <f>IF(B208="","-",IF(COUNTIF(E.DETACHED!B:B,B208)+COUNTIF('A.S.PRINTOUT'!B:B,B208)&gt;1,COUNTIF(E.DETACHED!B:B,B208)+COUNTIF('A.S.PRINTOUT'!B:B,B208)-1,"-"))</f>
        <v/>
      </c>
      <c r="C208" s="21" t="n"/>
      <c r="D208" s="66" t="n"/>
      <c r="E208" s="67" t="n"/>
      <c r="K208" s="21" t="n"/>
      <c r="S208" s="21" t="n"/>
      <c r="T208" s="67" t="n"/>
      <c r="V208" s="21" t="n"/>
    </row>
    <row r="209" ht="15.75" customHeight="1" s="102">
      <c r="A209" s="13">
        <f>IF(B209="","-",IF(COUNTIF(E.DETACHED!B:B,B209)+COUNTIF('A.S.PRINTOUT'!B:B,B209)&gt;1,COUNTIF(E.DETACHED!B:B,B209)+COUNTIF('A.S.PRINTOUT'!B:B,B209)-1,"-"))</f>
        <v/>
      </c>
      <c r="C209" s="21" t="n"/>
      <c r="D209" s="66" t="n"/>
      <c r="E209" s="67" t="n"/>
      <c r="K209" s="21" t="n"/>
      <c r="S209" s="21" t="n"/>
      <c r="T209" s="67" t="n"/>
      <c r="V209" s="21" t="n"/>
    </row>
    <row r="210" ht="15.75" customHeight="1" s="102">
      <c r="A210" s="13">
        <f>IF(B210="","-",IF(COUNTIF(E.DETACHED!B:B,B210)+COUNTIF('A.S.PRINTOUT'!B:B,B210)&gt;1,COUNTIF(E.DETACHED!B:B,B210)+COUNTIF('A.S.PRINTOUT'!B:B,B210)-1,"-"))</f>
        <v/>
      </c>
      <c r="C210" s="21" t="n"/>
      <c r="D210" s="66" t="n"/>
      <c r="E210" s="67" t="n"/>
      <c r="K210" s="21" t="n"/>
      <c r="S210" s="21" t="n"/>
      <c r="T210" s="67" t="n"/>
      <c r="V210" s="21" t="n"/>
    </row>
    <row r="211" ht="15.75" customHeight="1" s="102">
      <c r="A211" s="13">
        <f>IF(B211="","-",IF(COUNTIF(E.DETACHED!B:B,B211)+COUNTIF('A.S.PRINTOUT'!B:B,B211)&gt;1,COUNTIF(E.DETACHED!B:B,B211)+COUNTIF('A.S.PRINTOUT'!B:B,B211)-1,"-"))</f>
        <v/>
      </c>
      <c r="C211" s="21" t="n"/>
      <c r="D211" s="66" t="n"/>
      <c r="E211" s="67" t="n"/>
      <c r="K211" s="21" t="n"/>
      <c r="S211" s="21" t="n"/>
      <c r="T211" s="67" t="n"/>
      <c r="V211" s="21" t="n"/>
    </row>
    <row r="212" ht="15.75" customHeight="1" s="102">
      <c r="A212" s="13">
        <f>IF(B212="","-",IF(COUNTIF(E.DETACHED!B:B,B212)+COUNTIF('A.S.PRINTOUT'!B:B,B212)&gt;1,COUNTIF(E.DETACHED!B:B,B212)+COUNTIF('A.S.PRINTOUT'!B:B,B212)-1,"-"))</f>
        <v/>
      </c>
      <c r="C212" s="21" t="n"/>
      <c r="D212" s="66" t="n"/>
      <c r="E212" s="67" t="n"/>
      <c r="K212" s="21" t="n"/>
      <c r="S212" s="21" t="n"/>
      <c r="T212" s="67" t="n"/>
      <c r="V212" s="21" t="n"/>
    </row>
    <row r="213" ht="15.75" customHeight="1" s="102">
      <c r="A213" s="13">
        <f>IF(B213="","-",IF(COUNTIF(E.DETACHED!B:B,B213)+COUNTIF('A.S.PRINTOUT'!B:B,B213)&gt;1,COUNTIF(E.DETACHED!B:B,B213)+COUNTIF('A.S.PRINTOUT'!B:B,B213)-1,"-"))</f>
        <v/>
      </c>
      <c r="C213" s="21" t="n"/>
      <c r="D213" s="66" t="n"/>
      <c r="E213" s="67" t="n"/>
      <c r="K213" s="21" t="n"/>
      <c r="S213" s="21" t="n"/>
      <c r="T213" s="67" t="n"/>
      <c r="V213" s="21" t="n"/>
    </row>
    <row r="214" ht="15.75" customHeight="1" s="102">
      <c r="A214" s="13">
        <f>IF(B214="","-",IF(COUNTIF(E.DETACHED!B:B,B214)+COUNTIF('A.S.PRINTOUT'!B:B,B214)&gt;1,COUNTIF(E.DETACHED!B:B,B214)+COUNTIF('A.S.PRINTOUT'!B:B,B214)-1,"-"))</f>
        <v/>
      </c>
      <c r="C214" s="21" t="n"/>
      <c r="D214" s="66" t="n"/>
      <c r="E214" s="67" t="n"/>
      <c r="K214" s="21" t="n"/>
      <c r="S214" s="21" t="n"/>
      <c r="T214" s="67" t="n"/>
      <c r="V214" s="21" t="n"/>
    </row>
    <row r="215" ht="15.75" customHeight="1" s="102">
      <c r="A215" s="13">
        <f>IF(B215="","-",IF(COUNTIF(E.DETACHED!B:B,B215)+COUNTIF('A.S.PRINTOUT'!B:B,B215)&gt;1,COUNTIF(E.DETACHED!B:B,B215)+COUNTIF('A.S.PRINTOUT'!B:B,B215)-1,"-"))</f>
        <v/>
      </c>
      <c r="C215" s="21" t="n"/>
      <c r="D215" s="66" t="n"/>
      <c r="E215" s="67" t="n"/>
      <c r="K215" s="21" t="n"/>
      <c r="S215" s="21" t="n"/>
      <c r="T215" s="67" t="n"/>
      <c r="V215" s="21" t="n"/>
    </row>
    <row r="216" ht="15.75" customHeight="1" s="102">
      <c r="A216" s="13">
        <f>IF(B216="","-",IF(COUNTIF(E.DETACHED!B:B,B216)+COUNTIF('A.S.PRINTOUT'!B:B,B216)&gt;1,COUNTIF(E.DETACHED!B:B,B216)+COUNTIF('A.S.PRINTOUT'!B:B,B216)-1,"-"))</f>
        <v/>
      </c>
      <c r="C216" s="21" t="n"/>
      <c r="D216" s="66" t="n"/>
      <c r="E216" s="67" t="n"/>
      <c r="K216" s="21" t="n"/>
      <c r="S216" s="21" t="n"/>
      <c r="T216" s="67" t="n"/>
      <c r="V216" s="21" t="n"/>
    </row>
    <row r="217" ht="15.75" customHeight="1" s="102">
      <c r="A217" s="13">
        <f>IF(B217="","-",IF(COUNTIF(E.DETACHED!B:B,B217)+COUNTIF('A.S.PRINTOUT'!B:B,B217)&gt;1,COUNTIF(E.DETACHED!B:B,B217)+COUNTIF('A.S.PRINTOUT'!B:B,B217)-1,"-"))</f>
        <v/>
      </c>
      <c r="C217" s="21" t="n"/>
      <c r="D217" s="66" t="n"/>
      <c r="E217" s="67" t="n"/>
      <c r="K217" s="21" t="n"/>
      <c r="S217" s="21" t="n"/>
      <c r="T217" s="67" t="n"/>
      <c r="V217" s="21" t="n"/>
    </row>
    <row r="218" ht="15.75" customHeight="1" s="102">
      <c r="A218" s="13">
        <f>IF(B218="","-",IF(COUNTIF(E.DETACHED!B:B,B218)+COUNTIF('A.S.PRINTOUT'!B:B,B218)&gt;1,COUNTIF(E.DETACHED!B:B,B218)+COUNTIF('A.S.PRINTOUT'!B:B,B218)-1,"-"))</f>
        <v/>
      </c>
      <c r="C218" s="21" t="n"/>
      <c r="D218" s="66" t="n"/>
      <c r="E218" s="67" t="n"/>
      <c r="K218" s="21" t="n"/>
      <c r="S218" s="21" t="n"/>
      <c r="T218" s="67" t="n"/>
      <c r="V218" s="21" t="n"/>
    </row>
    <row r="219" ht="15.75" customHeight="1" s="102">
      <c r="A219" s="13">
        <f>IF(B219="","-",IF(COUNTIF(E.DETACHED!B:B,B219)+COUNTIF('A.S.PRINTOUT'!B:B,B219)&gt;1,COUNTIF(E.DETACHED!B:B,B219)+COUNTIF('A.S.PRINTOUT'!B:B,B219)-1,"-"))</f>
        <v/>
      </c>
      <c r="C219" s="21" t="n"/>
      <c r="D219" s="66" t="n"/>
      <c r="E219" s="67" t="n"/>
      <c r="K219" s="21" t="n"/>
      <c r="S219" s="21" t="n"/>
      <c r="T219" s="67" t="n"/>
      <c r="V219" s="21" t="n"/>
    </row>
    <row r="220" ht="15.75" customHeight="1" s="102">
      <c r="A220" s="13">
        <f>IF(B220="","-",IF(COUNTIF(E.DETACHED!B:B,B220)+COUNTIF('A.S.PRINTOUT'!B:B,B220)&gt;1,COUNTIF(E.DETACHED!B:B,B220)+COUNTIF('A.S.PRINTOUT'!B:B,B220)-1,"-"))</f>
        <v/>
      </c>
      <c r="C220" s="21" t="n"/>
      <c r="D220" s="66" t="n"/>
      <c r="E220" s="67" t="n"/>
      <c r="K220" s="21" t="n"/>
      <c r="S220" s="21" t="n"/>
      <c r="T220" s="67" t="n"/>
      <c r="V220" s="21" t="n"/>
    </row>
    <row r="221" ht="15.75" customHeight="1" s="102">
      <c r="A221" s="13">
        <f>IF(B221="","-",IF(COUNTIF(E.DETACHED!B:B,B221)+COUNTIF('A.S.PRINTOUT'!B:B,B221)&gt;1,COUNTIF(E.DETACHED!B:B,B221)+COUNTIF('A.S.PRINTOUT'!B:B,B221)-1,"-"))</f>
        <v/>
      </c>
      <c r="C221" s="21" t="n"/>
      <c r="D221" s="66" t="n"/>
      <c r="E221" s="67" t="n"/>
      <c r="K221" s="21" t="n"/>
      <c r="S221" s="21" t="n"/>
      <c r="T221" s="67" t="n"/>
      <c r="V221" s="21" t="n"/>
    </row>
    <row r="222" ht="15.75" customHeight="1" s="102">
      <c r="A222" s="13">
        <f>IF(B222="","-",IF(COUNTIF(E.DETACHED!B:B,B222)+COUNTIF('A.S.PRINTOUT'!B:B,B222)&gt;1,COUNTIF(E.DETACHED!B:B,B222)+COUNTIF('A.S.PRINTOUT'!B:B,B222)-1,"-"))</f>
        <v/>
      </c>
      <c r="C222" s="21" t="n"/>
      <c r="D222" s="66" t="n"/>
      <c r="E222" s="67" t="n"/>
      <c r="K222" s="21" t="n"/>
      <c r="S222" s="21" t="n"/>
      <c r="T222" s="67" t="n"/>
      <c r="V222" s="21" t="n"/>
    </row>
    <row r="223" ht="15.75" customHeight="1" s="102">
      <c r="A223" s="13">
        <f>IF(B223="","-",IF(COUNTIF(E.DETACHED!B:B,B223)+COUNTIF('A.S.PRINTOUT'!B:B,B223)&gt;1,COUNTIF(E.DETACHED!B:B,B223)+COUNTIF('A.S.PRINTOUT'!B:B,B223)-1,"-"))</f>
        <v/>
      </c>
      <c r="C223" s="21" t="n"/>
      <c r="D223" s="66" t="n"/>
      <c r="E223" s="67" t="n"/>
      <c r="K223" s="21" t="n"/>
      <c r="S223" s="21" t="n"/>
      <c r="T223" s="67" t="n"/>
      <c r="V223" s="21" t="n"/>
    </row>
    <row r="224" ht="15.75" customHeight="1" s="102">
      <c r="A224" s="13">
        <f>IF(B224="","-",IF(COUNTIF(E.DETACHED!B:B,B224)+COUNTIF('A.S.PRINTOUT'!B:B,B224)&gt;1,COUNTIF(E.DETACHED!B:B,B224)+COUNTIF('A.S.PRINTOUT'!B:B,B224)-1,"-"))</f>
        <v/>
      </c>
      <c r="C224" s="21" t="n"/>
      <c r="D224" s="66" t="n"/>
      <c r="E224" s="67" t="n"/>
      <c r="K224" s="21" t="n"/>
      <c r="S224" s="21" t="n"/>
      <c r="T224" s="67" t="n"/>
      <c r="V224" s="21" t="n"/>
    </row>
    <row r="225" ht="15.75" customHeight="1" s="102">
      <c r="A225" s="13">
        <f>IF(B225="","-",IF(COUNTIF(E.DETACHED!B:B,B225)+COUNTIF('A.S.PRINTOUT'!B:B,B225)&gt;1,COUNTIF(E.DETACHED!B:B,B225)+COUNTIF('A.S.PRINTOUT'!B:B,B225)-1,"-"))</f>
        <v/>
      </c>
      <c r="C225" s="21" t="n"/>
      <c r="D225" s="66" t="n"/>
      <c r="E225" s="67" t="n"/>
      <c r="K225" s="21" t="n"/>
      <c r="S225" s="21" t="n"/>
      <c r="T225" s="67" t="n"/>
      <c r="V225" s="21" t="n"/>
    </row>
    <row r="226" ht="15.75" customHeight="1" s="102">
      <c r="A226" s="13">
        <f>IF(B226="","-",IF(COUNTIF(E.DETACHED!B:B,B226)+COUNTIF('A.S.PRINTOUT'!B:B,B226)&gt;1,COUNTIF(E.DETACHED!B:B,B226)+COUNTIF('A.S.PRINTOUT'!B:B,B226)-1,"-"))</f>
        <v/>
      </c>
      <c r="C226" s="21" t="n"/>
      <c r="D226" s="66" t="n"/>
      <c r="E226" s="67" t="n"/>
      <c r="K226" s="21" t="n"/>
      <c r="S226" s="21" t="n"/>
      <c r="T226" s="67" t="n"/>
      <c r="V226" s="21" t="n"/>
    </row>
    <row r="227" ht="15.75" customHeight="1" s="102">
      <c r="A227" s="13">
        <f>IF(B227="","-",IF(COUNTIF(E.DETACHED!B:B,B227)+COUNTIF('A.S.PRINTOUT'!B:B,B227)&gt;1,COUNTIF(E.DETACHED!B:B,B227)+COUNTIF('A.S.PRINTOUT'!B:B,B227)-1,"-"))</f>
        <v/>
      </c>
      <c r="C227" s="21" t="n"/>
      <c r="D227" s="66" t="n"/>
      <c r="E227" s="67" t="n"/>
      <c r="K227" s="21" t="n"/>
      <c r="S227" s="21" t="n"/>
      <c r="T227" s="67" t="n"/>
      <c r="V227" s="21" t="n"/>
    </row>
    <row r="228" ht="15.75" customHeight="1" s="102">
      <c r="A228" s="13">
        <f>IF(B228="","-",IF(COUNTIF(E.DETACHED!B:B,B228)+COUNTIF('A.S.PRINTOUT'!B:B,B228)&gt;1,COUNTIF(E.DETACHED!B:B,B228)+COUNTIF('A.S.PRINTOUT'!B:B,B228)-1,"-"))</f>
        <v/>
      </c>
      <c r="C228" s="21" t="n"/>
      <c r="D228" s="66" t="n"/>
      <c r="E228" s="67" t="n"/>
      <c r="K228" s="21" t="n"/>
      <c r="S228" s="21" t="n"/>
      <c r="T228" s="67" t="n"/>
      <c r="V228" s="21" t="n"/>
    </row>
    <row r="229" ht="15.75" customHeight="1" s="102">
      <c r="A229" s="13">
        <f>IF(B229="","-",IF(COUNTIF(E.DETACHED!B:B,B229)+COUNTIF('A.S.PRINTOUT'!B:B,B229)&gt;1,COUNTIF(E.DETACHED!B:B,B229)+COUNTIF('A.S.PRINTOUT'!B:B,B229)-1,"-"))</f>
        <v/>
      </c>
      <c r="C229" s="21" t="n"/>
      <c r="D229" s="66" t="n"/>
      <c r="E229" s="67" t="n"/>
      <c r="K229" s="21" t="n"/>
      <c r="S229" s="21" t="n"/>
      <c r="T229" s="67" t="n"/>
      <c r="V229" s="21" t="n"/>
    </row>
    <row r="230" ht="15.75" customHeight="1" s="102">
      <c r="A230" s="13">
        <f>IF(B230="","-",IF(COUNTIF(E.DETACHED!B:B,B230)+COUNTIF('A.S.PRINTOUT'!B:B,B230)&gt;1,COUNTIF(E.DETACHED!B:B,B230)+COUNTIF('A.S.PRINTOUT'!B:B,B230)-1,"-"))</f>
        <v/>
      </c>
      <c r="C230" s="21" t="n"/>
      <c r="D230" s="66" t="n"/>
      <c r="E230" s="67" t="n"/>
      <c r="K230" s="21" t="n"/>
      <c r="S230" s="21" t="n"/>
      <c r="T230" s="67" t="n"/>
      <c r="V230" s="21" t="n"/>
    </row>
    <row r="231" ht="15.75" customHeight="1" s="102">
      <c r="A231" s="13">
        <f>IF(B231="","-",IF(COUNTIF(E.DETACHED!B:B,B231)+COUNTIF('A.S.PRINTOUT'!B:B,B231)&gt;1,COUNTIF(E.DETACHED!B:B,B231)+COUNTIF('A.S.PRINTOUT'!B:B,B231)-1,"-"))</f>
        <v/>
      </c>
      <c r="C231" s="21" t="n"/>
      <c r="D231" s="66" t="n"/>
      <c r="E231" s="67" t="n"/>
      <c r="K231" s="21" t="n"/>
      <c r="S231" s="21" t="n"/>
      <c r="T231" s="67" t="n"/>
      <c r="V231" s="21" t="n"/>
    </row>
    <row r="232" ht="15.75" customHeight="1" s="102">
      <c r="A232" s="13">
        <f>IF(B232="","-",IF(COUNTIF(E.DETACHED!B:B,B232)+COUNTIF('A.S.PRINTOUT'!B:B,B232)&gt;1,COUNTIF(E.DETACHED!B:B,B232)+COUNTIF('A.S.PRINTOUT'!B:B,B232)-1,"-"))</f>
        <v/>
      </c>
      <c r="C232" s="21" t="n"/>
      <c r="D232" s="66" t="n"/>
      <c r="E232" s="67" t="n"/>
      <c r="K232" s="21" t="n"/>
      <c r="S232" s="21" t="n"/>
      <c r="T232" s="67" t="n"/>
      <c r="V232" s="21" t="n"/>
    </row>
    <row r="233" ht="15.75" customHeight="1" s="102">
      <c r="A233" s="13">
        <f>IF(B233="","-",IF(COUNTIF(E.DETACHED!B:B,B233)+COUNTIF('A.S.PRINTOUT'!B:B,B233)&gt;1,COUNTIF(E.DETACHED!B:B,B233)+COUNTIF('A.S.PRINTOUT'!B:B,B233)-1,"-"))</f>
        <v/>
      </c>
      <c r="C233" s="21" t="n"/>
      <c r="D233" s="66" t="n"/>
      <c r="E233" s="67" t="n"/>
      <c r="K233" s="21" t="n"/>
      <c r="S233" s="21" t="n"/>
      <c r="T233" s="67" t="n"/>
      <c r="V233" s="21" t="n"/>
    </row>
    <row r="234" ht="15.75" customHeight="1" s="102">
      <c r="A234" s="13">
        <f>IF(B234="","-",IF(COUNTIF(E.DETACHED!B:B,B234)+COUNTIF('A.S.PRINTOUT'!B:B,B234)&gt;1,COUNTIF(E.DETACHED!B:B,B234)+COUNTIF('A.S.PRINTOUT'!B:B,B234)-1,"-"))</f>
        <v/>
      </c>
      <c r="C234" s="21" t="n"/>
      <c r="D234" s="66" t="n"/>
      <c r="E234" s="67" t="n"/>
      <c r="K234" s="21" t="n"/>
      <c r="S234" s="21" t="n"/>
      <c r="T234" s="67" t="n"/>
      <c r="V234" s="21" t="n"/>
    </row>
    <row r="235" ht="15.75" customHeight="1" s="102">
      <c r="A235" s="13">
        <f>IF(B235="","-",IF(COUNTIF(E.DETACHED!B:B,B235)+COUNTIF('A.S.PRINTOUT'!B:B,B235)&gt;1,COUNTIF(E.DETACHED!B:B,B235)+COUNTIF('A.S.PRINTOUT'!B:B,B235)-1,"-"))</f>
        <v/>
      </c>
      <c r="C235" s="21" t="n"/>
      <c r="D235" s="66" t="n"/>
      <c r="E235" s="67" t="n"/>
      <c r="K235" s="21" t="n"/>
      <c r="S235" s="21" t="n"/>
      <c r="T235" s="67" t="n"/>
      <c r="V235" s="21" t="n"/>
    </row>
    <row r="236" ht="15.75" customHeight="1" s="102">
      <c r="A236" s="13">
        <f>IF(B236="","-",IF(COUNTIF(E.DETACHED!B:B,B236)+COUNTIF('A.S.PRINTOUT'!B:B,B236)&gt;1,COUNTIF(E.DETACHED!B:B,B236)+COUNTIF('A.S.PRINTOUT'!B:B,B236)-1,"-"))</f>
        <v/>
      </c>
      <c r="C236" s="21" t="n"/>
      <c r="D236" s="66" t="n"/>
      <c r="E236" s="67" t="n"/>
      <c r="K236" s="21" t="n"/>
      <c r="S236" s="21" t="n"/>
      <c r="T236" s="67" t="n"/>
      <c r="V236" s="21" t="n"/>
    </row>
    <row r="237" ht="15.75" customHeight="1" s="102">
      <c r="A237" s="13">
        <f>IF(B237="","-",IF(COUNTIF(E.DETACHED!B:B,B237)+COUNTIF('A.S.PRINTOUT'!B:B,B237)&gt;1,COUNTIF(E.DETACHED!B:B,B237)+COUNTIF('A.S.PRINTOUT'!B:B,B237)-1,"-"))</f>
        <v/>
      </c>
      <c r="C237" s="21" t="n"/>
      <c r="D237" s="66" t="n"/>
      <c r="E237" s="67" t="n"/>
      <c r="K237" s="21" t="n"/>
      <c r="S237" s="21" t="n"/>
      <c r="T237" s="67" t="n"/>
      <c r="V237" s="21" t="n"/>
    </row>
    <row r="238" ht="15.75" customHeight="1" s="102">
      <c r="A238" s="13">
        <f>IF(B238="","-",IF(COUNTIF(E.DETACHED!B:B,B238)+COUNTIF('A.S.PRINTOUT'!B:B,B238)&gt;1,COUNTIF(E.DETACHED!B:B,B238)+COUNTIF('A.S.PRINTOUT'!B:B,B238)-1,"-"))</f>
        <v/>
      </c>
      <c r="C238" s="21" t="n"/>
      <c r="D238" s="66" t="n"/>
      <c r="E238" s="67" t="n"/>
      <c r="K238" s="21" t="n"/>
      <c r="S238" s="21" t="n"/>
      <c r="T238" s="67" t="n"/>
      <c r="V238" s="21" t="n"/>
    </row>
    <row r="239" ht="15.75" customHeight="1" s="102">
      <c r="A239" s="13">
        <f>IF(B239="","-",IF(COUNTIF(E.DETACHED!B:B,B239)+COUNTIF('A.S.PRINTOUT'!B:B,B239)&gt;1,COUNTIF(E.DETACHED!B:B,B239)+COUNTIF('A.S.PRINTOUT'!B:B,B239)-1,"-"))</f>
        <v/>
      </c>
      <c r="C239" s="21" t="n"/>
    </row>
    <row r="240" ht="15.75" customHeight="1" s="102">
      <c r="A240" s="13">
        <f>IF(B240="","-",IF(COUNTIF(E.DETACHED!B:B,B240)+COUNTIF('A.S.PRINTOUT'!B:B,B240)&gt;1,COUNTIF(E.DETACHED!B:B,B240)+COUNTIF('A.S.PRINTOUT'!B:B,B240)-1,"-"))</f>
        <v/>
      </c>
      <c r="C240" s="21" t="n"/>
    </row>
    <row r="241" ht="15.75" customHeight="1" s="102">
      <c r="A241" s="13">
        <f>IF(B241="","-",IF(COUNTIF(E.DETACHED!B:B,B241)+COUNTIF('A.S.PRINTOUT'!B:B,B241)&gt;1,COUNTIF(E.DETACHED!B:B,B241)+COUNTIF('A.S.PRINTOUT'!B:B,B241)-1,"-"))</f>
        <v/>
      </c>
      <c r="C241" s="21" t="n"/>
    </row>
    <row r="242" ht="15.75" customHeight="1" s="102">
      <c r="A242" s="13">
        <f>IF(B242="","-",IF(COUNTIF(E.DETACHED!B:B,B242)+COUNTIF('A.S.PRINTOUT'!B:B,B242)&gt;1,COUNTIF(E.DETACHED!B:B,B242)+COUNTIF('A.S.PRINTOUT'!B:B,B242)-1,"-"))</f>
        <v/>
      </c>
      <c r="C242" s="21" t="n"/>
    </row>
    <row r="243" ht="15.75" customHeight="1" s="102">
      <c r="A243" s="13">
        <f>IF(B243="","-",IF(COUNTIF(E.DETACHED!B:B,B243)+COUNTIF('A.S.PRINTOUT'!B:B,B243)&gt;1,COUNTIF(E.DETACHED!B:B,B243)+COUNTIF('A.S.PRINTOUT'!B:B,B243)-1,"-"))</f>
        <v/>
      </c>
      <c r="C243" s="21" t="n"/>
    </row>
    <row r="244" ht="15.75" customHeight="1" s="102">
      <c r="A244" s="13">
        <f>IF(B244="","-",IF(COUNTIF(E.DETACHED!B:B,B244)+COUNTIF('A.S.PRINTOUT'!B:B,B244)&gt;1,COUNTIF(E.DETACHED!B:B,B244)+COUNTIF('A.S.PRINTOUT'!B:B,B244)-1,"-"))</f>
        <v/>
      </c>
      <c r="C244" s="21" t="n"/>
    </row>
    <row r="245" ht="15.75" customHeight="1" s="102">
      <c r="A245" s="13">
        <f>IF(B245="","-",IF(COUNTIF(E.DETACHED!B:B,B245)+COUNTIF('A.S.PRINTOUT'!B:B,B245)&gt;1,COUNTIF(E.DETACHED!B:B,B245)+COUNTIF('A.S.PRINTOUT'!B:B,B245)-1,"-"))</f>
        <v/>
      </c>
      <c r="C245" s="21" t="n"/>
    </row>
    <row r="246" ht="15.75" customHeight="1" s="102">
      <c r="A246" s="13">
        <f>IF(B246="","-",IF(COUNTIF(E.DETACHED!B:B,B246)+COUNTIF('A.S.PRINTOUT'!B:B,B246)&gt;1,COUNTIF(E.DETACHED!B:B,B246)+COUNTIF('A.S.PRINTOUT'!B:B,B246)-1,"-"))</f>
        <v/>
      </c>
      <c r="C246" s="21" t="n"/>
    </row>
    <row r="247" ht="15.75" customHeight="1" s="102">
      <c r="A247" s="13">
        <f>IF(B247="","-",IF(COUNTIF(E.DETACHED!B:B,B247)+COUNTIF('A.S.PRINTOUT'!B:B,B247)&gt;1,COUNTIF(E.DETACHED!B:B,B247)+COUNTIF('A.S.PRINTOUT'!B:B,B247)-1,"-"))</f>
        <v/>
      </c>
      <c r="C247" s="21" t="n"/>
    </row>
    <row r="248" ht="15.75" customHeight="1" s="102">
      <c r="A248" s="13">
        <f>IF(B248="","-",IF(COUNTIF(E.DETACHED!B:B,B248)+COUNTIF('A.S.PRINTOUT'!B:B,B248)&gt;1,COUNTIF(E.DETACHED!B:B,B248)+COUNTIF('A.S.PRINTOUT'!B:B,B248)-1,"-"))</f>
        <v/>
      </c>
      <c r="C248" s="21" t="n"/>
    </row>
    <row r="249" ht="15.75" customHeight="1" s="102">
      <c r="A249" s="13">
        <f>IF(B249="","-",IF(COUNTIF(E.DETACHED!B:B,B249)+COUNTIF('A.S.PRINTOUT'!B:B,B249)&gt;1,COUNTIF(E.DETACHED!B:B,B249)+COUNTIF('A.S.PRINTOUT'!B:B,B249)-1,"-"))</f>
        <v/>
      </c>
      <c r="C249" s="21" t="n"/>
    </row>
    <row r="250" ht="15.75" customHeight="1" s="102">
      <c r="A250" s="13">
        <f>IF(B250="","-",IF(COUNTIF(E.DETACHED!B:B,B250)+COUNTIF('A.S.PRINTOUT'!B:B,B250)&gt;1,COUNTIF(E.DETACHED!B:B,B250)+COUNTIF('A.S.PRINTOUT'!B:B,B250)-1,"-"))</f>
        <v/>
      </c>
      <c r="C250" s="21" t="n"/>
    </row>
    <row r="251" ht="15.75" customHeight="1" s="102">
      <c r="A251" s="13">
        <f>IF(B251="","-",IF(COUNTIF(E.DETACHED!B:B,B251)+COUNTIF('A.S.PRINTOUT'!B:B,B251)&gt;1,COUNTIF(E.DETACHED!B:B,B251)+COUNTIF('A.S.PRINTOUT'!B:B,B251)-1,"-"))</f>
        <v/>
      </c>
      <c r="C251" s="21" t="n"/>
    </row>
    <row r="252" ht="15.75" customHeight="1" s="102">
      <c r="A252" s="13">
        <f>IF(B252="","-",IF(COUNTIF(E.DETACHED!B:B,B252)+COUNTIF('A.S.PRINTOUT'!B:B,B252)&gt;1,COUNTIF(E.DETACHED!B:B,B252)+COUNTIF('A.S.PRINTOUT'!B:B,B252)-1,"-"))</f>
        <v/>
      </c>
      <c r="C252" s="21" t="n"/>
    </row>
    <row r="253" ht="15.75" customHeight="1" s="102">
      <c r="A253" s="13">
        <f>IF(B253="","-",IF(COUNTIF(E.DETACHED!B:B,B253)+COUNTIF('A.S.PRINTOUT'!B:B,B253)&gt;1,COUNTIF(E.DETACHED!B:B,B253)+COUNTIF('A.S.PRINTOUT'!B:B,B253)-1,"-"))</f>
        <v/>
      </c>
      <c r="C253" s="21" t="n"/>
    </row>
    <row r="254" ht="15.75" customHeight="1" s="102">
      <c r="A254" s="13">
        <f>IF(B254="","-",IF(COUNTIF(E.DETACHED!B:B,B254)+COUNTIF('A.S.PRINTOUT'!B:B,B254)&gt;1,COUNTIF(E.DETACHED!B:B,B254)+COUNTIF('A.S.PRINTOUT'!B:B,B254)-1,"-"))</f>
        <v/>
      </c>
      <c r="C254" s="21" t="n"/>
    </row>
    <row r="255" ht="15.75" customHeight="1" s="102">
      <c r="A255" s="13">
        <f>IF(B255="","-",IF(COUNTIF(E.DETACHED!B:B,B255)+COUNTIF('A.S.PRINTOUT'!B:B,B255)&gt;1,COUNTIF(E.DETACHED!B:B,B255)+COUNTIF('A.S.PRINTOUT'!B:B,B255)-1,"-"))</f>
        <v/>
      </c>
      <c r="C255" s="21" t="n"/>
    </row>
    <row r="256" ht="15.75" customHeight="1" s="102">
      <c r="A256" s="13">
        <f>IF(B256="","-",IF(COUNTIF(E.DETACHED!B:B,B256)+COUNTIF('A.S.PRINTOUT'!B:B,B256)&gt;1,COUNTIF(E.DETACHED!B:B,B256)+COUNTIF('A.S.PRINTOUT'!B:B,B256)-1,"-"))</f>
        <v/>
      </c>
      <c r="C256" s="21" t="n"/>
    </row>
    <row r="257" ht="15.75" customHeight="1" s="102">
      <c r="A257" s="13">
        <f>IF(B257="","-",IF(COUNTIF(E.DETACHED!B:B,B257)+COUNTIF('A.S.PRINTOUT'!B:B,B257)&gt;1,COUNTIF(E.DETACHED!B:B,B257)+COUNTIF('A.S.PRINTOUT'!B:B,B257)-1,"-"))</f>
        <v/>
      </c>
      <c r="C257" s="21" t="n"/>
    </row>
    <row r="258" ht="15.75" customHeight="1" s="102">
      <c r="A258" s="13">
        <f>IF(B258="","-",IF(COUNTIF(E.DETACHED!B:B,B258)+COUNTIF('A.S.PRINTOUT'!B:B,B258)&gt;1,COUNTIF(E.DETACHED!B:B,B258)+COUNTIF('A.S.PRINTOUT'!B:B,B258)-1,"-"))</f>
        <v/>
      </c>
      <c r="C258" s="21" t="n"/>
    </row>
    <row r="259" ht="15.75" customHeight="1" s="102">
      <c r="A259" s="13">
        <f>IF(B259="","-",IF(COUNTIF(E.DETACHED!B:B,B259)+COUNTIF('A.S.PRINTOUT'!B:B,B259)&gt;1,COUNTIF(E.DETACHED!B:B,B259)+COUNTIF('A.S.PRINTOUT'!B:B,B259)-1,"-"))</f>
        <v/>
      </c>
      <c r="C259" s="21" t="n"/>
    </row>
    <row r="260" ht="15.75" customHeight="1" s="102">
      <c r="A260" s="13">
        <f>IF(B260="","-",IF(COUNTIF(E.DETACHED!B:B,B260)+COUNTIF('A.S.PRINTOUT'!B:B,B260)&gt;1,COUNTIF(E.DETACHED!B:B,B260)+COUNTIF('A.S.PRINTOUT'!B:B,B260)-1,"-"))</f>
        <v/>
      </c>
      <c r="C260" s="21" t="n"/>
    </row>
    <row r="261" ht="15.75" customHeight="1" s="102">
      <c r="A261" s="13">
        <f>IF(B261="","-",IF(COUNTIF(E.DETACHED!B:B,B261)+COUNTIF('A.S.PRINTOUT'!B:B,B261)&gt;1,COUNTIF(E.DETACHED!B:B,B261)+COUNTIF('A.S.PRINTOUT'!B:B,B261)-1,"-"))</f>
        <v/>
      </c>
      <c r="C261" s="21" t="n"/>
    </row>
    <row r="262" ht="15.75" customHeight="1" s="102">
      <c r="A262" s="13">
        <f>IF(B262="","-",IF(COUNTIF(E.DETACHED!B:B,B262)+COUNTIF('A.S.PRINTOUT'!B:B,B262)&gt;1,COUNTIF(E.DETACHED!B:B,B262)+COUNTIF('A.S.PRINTOUT'!B:B,B262)-1,"-"))</f>
        <v/>
      </c>
      <c r="C262" s="21" t="n"/>
    </row>
    <row r="263" ht="15.75" customHeight="1" s="102">
      <c r="A263" s="13">
        <f>IF(B263="","-",IF(COUNTIF(E.DETACHED!B:B,B263)+COUNTIF('A.S.PRINTOUT'!B:B,B263)&gt;1,COUNTIF(E.DETACHED!B:B,B263)+COUNTIF('A.S.PRINTOUT'!B:B,B263)-1,"-"))</f>
        <v/>
      </c>
      <c r="C263" s="21" t="n"/>
    </row>
    <row r="264" ht="15.75" customHeight="1" s="102">
      <c r="A264" s="13">
        <f>IF(B264="","-",IF(COUNTIF(E.DETACHED!B:B,B264)+COUNTIF('A.S.PRINTOUT'!B:B,B264)&gt;1,COUNTIF(E.DETACHED!B:B,B264)+COUNTIF('A.S.PRINTOUT'!B:B,B264)-1,"-"))</f>
        <v/>
      </c>
      <c r="C264" s="21" t="n"/>
    </row>
    <row r="265" ht="15.75" customHeight="1" s="102">
      <c r="A265" s="13">
        <f>IF(B265="","-",IF(COUNTIF(E.DETACHED!B:B,B265)+COUNTIF('A.S.PRINTOUT'!B:B,B265)&gt;1,COUNTIF(E.DETACHED!B:B,B265)+COUNTIF('A.S.PRINTOUT'!B:B,B265)-1,"-"))</f>
        <v/>
      </c>
      <c r="C265" s="21" t="n"/>
    </row>
    <row r="266" ht="15.75" customHeight="1" s="102">
      <c r="A266" s="13">
        <f>IF(B266="","-",IF(COUNTIF(E.DETACHED!B:B,B266)+COUNTIF('A.S.PRINTOUT'!B:B,B266)&gt;1,COUNTIF(E.DETACHED!B:B,B266)+COUNTIF('A.S.PRINTOUT'!B:B,B266)-1,"-"))</f>
        <v/>
      </c>
      <c r="C266" s="21" t="n"/>
    </row>
    <row r="267" ht="15.75" customHeight="1" s="102">
      <c r="A267" s="13">
        <f>IF(B267="","-",IF(COUNTIF(E.DETACHED!B:B,B267)+COUNTIF('A.S.PRINTOUT'!B:B,B267)&gt;1,COUNTIF(E.DETACHED!B:B,B267)+COUNTIF('A.S.PRINTOUT'!B:B,B267)-1,"-"))</f>
        <v/>
      </c>
      <c r="C267" s="21" t="n"/>
    </row>
    <row r="268" ht="15.75" customHeight="1" s="102">
      <c r="A268" s="13">
        <f>IF(B268="","-",IF(COUNTIF(E.DETACHED!B:B,B268)+COUNTIF('A.S.PRINTOUT'!B:B,B268)&gt;1,COUNTIF(E.DETACHED!B:B,B268)+COUNTIF('A.S.PRINTOUT'!B:B,B268)-1,"-"))</f>
        <v/>
      </c>
      <c r="C268" s="21" t="n"/>
    </row>
    <row r="269" ht="15.75" customHeight="1" s="102">
      <c r="A269" s="13">
        <f>IF(B269="","-",IF(COUNTIF(E.DETACHED!B:B,B269)+COUNTIF('A.S.PRINTOUT'!B:B,B269)&gt;1,COUNTIF(E.DETACHED!B:B,B269)+COUNTIF('A.S.PRINTOUT'!B:B,B269)-1,"-"))</f>
        <v/>
      </c>
      <c r="C269" s="21" t="n"/>
    </row>
    <row r="270" ht="15.75" customHeight="1" s="102">
      <c r="A270" s="13">
        <f>IF(B270="","-",IF(COUNTIF(E.DETACHED!B:B,B270)+COUNTIF('A.S.PRINTOUT'!B:B,B270)&gt;1,COUNTIF(E.DETACHED!B:B,B270)+COUNTIF('A.S.PRINTOUT'!B:B,B270)-1,"-"))</f>
        <v/>
      </c>
      <c r="C270" s="21" t="n"/>
    </row>
    <row r="271" ht="15.75" customHeight="1" s="102">
      <c r="A271" s="13">
        <f>IF(B271="","-",IF(COUNTIF(E.DETACHED!B:B,B271)+COUNTIF('A.S.PRINTOUT'!B:B,B271)&gt;1,COUNTIF(E.DETACHED!B:B,B271)+COUNTIF('A.S.PRINTOUT'!B:B,B271)-1,"-"))</f>
        <v/>
      </c>
      <c r="C271" s="21" t="n"/>
    </row>
    <row r="272" ht="15.75" customHeight="1" s="102">
      <c r="A272" s="13">
        <f>IF(B272="","-",IF(COUNTIF(E.DETACHED!B:B,B272)+COUNTIF('A.S.PRINTOUT'!B:B,B272)&gt;1,COUNTIF(E.DETACHED!B:B,B272)+COUNTIF('A.S.PRINTOUT'!B:B,B272)-1,"-"))</f>
        <v/>
      </c>
      <c r="C272" s="21" t="n"/>
    </row>
    <row r="273" ht="15.75" customHeight="1" s="102">
      <c r="A273" s="13">
        <f>IF(B273="","-",IF(COUNTIF(E.DETACHED!B:B,B273)+COUNTIF('A.S.PRINTOUT'!B:B,B273)&gt;1,COUNTIF(E.DETACHED!B:B,B273)+COUNTIF('A.S.PRINTOUT'!B:B,B273)-1,"-"))</f>
        <v/>
      </c>
      <c r="C273" s="21" t="n"/>
    </row>
    <row r="274" ht="15.75" customHeight="1" s="102">
      <c r="A274" s="13">
        <f>IF(B274="","-",IF(COUNTIF(E.DETACHED!B:B,B274)+COUNTIF('A.S.PRINTOUT'!B:B,B274)&gt;1,COUNTIF(E.DETACHED!B:B,B274)+COUNTIF('A.S.PRINTOUT'!B:B,B274)-1,"-"))</f>
        <v/>
      </c>
      <c r="C274" s="21" t="n"/>
    </row>
    <row r="275" ht="15.75" customHeight="1" s="102">
      <c r="A275" s="13">
        <f>IF(B275="","-",IF(COUNTIF(E.DETACHED!B:B,B275)+COUNTIF('A.S.PRINTOUT'!B:B,B275)&gt;1,COUNTIF(E.DETACHED!B:B,B275)+COUNTIF('A.S.PRINTOUT'!B:B,B275)-1,"-"))</f>
        <v/>
      </c>
      <c r="C275" s="21" t="n"/>
    </row>
    <row r="276" ht="15.75" customHeight="1" s="102">
      <c r="A276" s="13">
        <f>IF(B276="","-",IF(COUNTIF(E.DETACHED!B:B,B276)+COUNTIF('A.S.PRINTOUT'!B:B,B276)&gt;1,COUNTIF(E.DETACHED!B:B,B276)+COUNTIF('A.S.PRINTOUT'!B:B,B276)-1,"-"))</f>
        <v/>
      </c>
      <c r="C276" s="21" t="n"/>
    </row>
    <row r="277" ht="15.75" customHeight="1" s="102">
      <c r="A277" s="13">
        <f>IF(B277="","-",IF(COUNTIF(E.DETACHED!B:B,B277)+COUNTIF('A.S.PRINTOUT'!B:B,B277)&gt;1,COUNTIF(E.DETACHED!B:B,B277)+COUNTIF('A.S.PRINTOUT'!B:B,B277)-1,"-"))</f>
        <v/>
      </c>
      <c r="C277" s="21" t="n"/>
    </row>
    <row r="278" ht="15.75" customHeight="1" s="102">
      <c r="A278" s="13">
        <f>IF(B278="","-",IF(COUNTIF(E.DETACHED!B:B,B278)+COUNTIF('A.S.PRINTOUT'!B:B,B278)&gt;1,COUNTIF(E.DETACHED!B:B,B278)+COUNTIF('A.S.PRINTOUT'!B:B,B278)-1,"-"))</f>
        <v/>
      </c>
      <c r="C278" s="21" t="n"/>
    </row>
    <row r="279" ht="15.75" customHeight="1" s="102">
      <c r="A279" s="13">
        <f>IF(B279="","-",IF(COUNTIF(E.DETACHED!B:B,B279)+COUNTIF('A.S.PRINTOUT'!B:B,B279)&gt;1,COUNTIF(E.DETACHED!B:B,B279)+COUNTIF('A.S.PRINTOUT'!B:B,B279)-1,"-"))</f>
        <v/>
      </c>
      <c r="C279" s="21" t="n"/>
    </row>
    <row r="280" ht="15.75" customHeight="1" s="102">
      <c r="A280" s="13">
        <f>IF(B280="","-",IF(COUNTIF(E.DETACHED!B:B,B280)+COUNTIF('A.S.PRINTOUT'!B:B,B280)&gt;1,COUNTIF(E.DETACHED!B:B,B280)+COUNTIF('A.S.PRINTOUT'!B:B,B280)-1,"-"))</f>
        <v/>
      </c>
      <c r="C280" s="21" t="n"/>
    </row>
    <row r="281" ht="15.75" customHeight="1" s="102">
      <c r="A281" s="13">
        <f>IF(B281="","-",IF(COUNTIF(E.DETACHED!B:B,B281)+COUNTIF('A.S.PRINTOUT'!B:B,B281)&gt;1,COUNTIF(E.DETACHED!B:B,B281)+COUNTIF('A.S.PRINTOUT'!B:B,B281)-1,"-"))</f>
        <v/>
      </c>
      <c r="C281" s="21" t="n"/>
    </row>
    <row r="282" ht="15.75" customHeight="1" s="102">
      <c r="A282" s="13">
        <f>IF(B282="","-",IF(COUNTIF(E.DETACHED!B:B,B282)+COUNTIF('A.S.PRINTOUT'!B:B,B282)&gt;1,COUNTIF(E.DETACHED!B:B,B282)+COUNTIF('A.S.PRINTOUT'!B:B,B282)-1,"-"))</f>
        <v/>
      </c>
      <c r="C282" s="21" t="n"/>
    </row>
    <row r="283" ht="15.75" customHeight="1" s="102">
      <c r="A283" s="13">
        <f>IF(B283="","-",IF(COUNTIF(E.DETACHED!B:B,B283)+COUNTIF('A.S.PRINTOUT'!B:B,B283)&gt;1,COUNTIF(E.DETACHED!B:B,B283)+COUNTIF('A.S.PRINTOUT'!B:B,B283)-1,"-"))</f>
        <v/>
      </c>
      <c r="C283" s="21" t="n"/>
    </row>
    <row r="284" ht="15.75" customHeight="1" s="102">
      <c r="A284" s="13">
        <f>IF(B284="","-",IF(COUNTIF(E.DETACHED!B:B,B284)+COUNTIF('A.S.PRINTOUT'!B:B,B284)&gt;1,COUNTIF(E.DETACHED!B:B,B284)+COUNTIF('A.S.PRINTOUT'!B:B,B284)-1,"-"))</f>
        <v/>
      </c>
      <c r="C284" s="21" t="n"/>
    </row>
    <row r="285" ht="15.75" customHeight="1" s="102">
      <c r="A285" s="13">
        <f>IF(B285="","-",IF(COUNTIF(E.DETACHED!B:B,B285)+COUNTIF('A.S.PRINTOUT'!B:B,B285)&gt;1,COUNTIF(E.DETACHED!B:B,B285)+COUNTIF('A.S.PRINTOUT'!B:B,B285)-1,"-"))</f>
        <v/>
      </c>
      <c r="C285" s="21" t="n"/>
    </row>
    <row r="286" ht="15.75" customHeight="1" s="102">
      <c r="A286" s="13">
        <f>IF(B286="","-",IF(COUNTIF(E.DETACHED!B:B,B286)+COUNTIF('A.S.PRINTOUT'!B:B,B286)&gt;1,COUNTIF(E.DETACHED!B:B,B286)+COUNTIF('A.S.PRINTOUT'!B:B,B286)-1,"-"))</f>
        <v/>
      </c>
      <c r="C286" s="21" t="n"/>
    </row>
    <row r="287" ht="15.75" customHeight="1" s="102">
      <c r="A287" s="13">
        <f>IF(B287="","-",IF(COUNTIF(E.DETACHED!B:B,B287)+COUNTIF('A.S.PRINTOUT'!B:B,B287)&gt;1,COUNTIF(E.DETACHED!B:B,B287)+COUNTIF('A.S.PRINTOUT'!B:B,B287)-1,"-"))</f>
        <v/>
      </c>
      <c r="C287" s="21" t="n"/>
    </row>
    <row r="288" ht="15.75" customHeight="1" s="102">
      <c r="A288" s="13">
        <f>IF(B288="","-",IF(COUNTIF(E.DETACHED!B:B,B288)+COUNTIF('A.S.PRINTOUT'!B:B,B288)&gt;1,COUNTIF(E.DETACHED!B:B,B288)+COUNTIF('A.S.PRINTOUT'!B:B,B288)-1,"-"))</f>
        <v/>
      </c>
      <c r="C288" s="21" t="n"/>
    </row>
    <row r="289" ht="15.75" customHeight="1" s="102">
      <c r="A289" s="13">
        <f>IF(B289="","-",IF(COUNTIF(E.DETACHED!B:B,B289)+COUNTIF('A.S.PRINTOUT'!B:B,B289)&gt;1,COUNTIF(E.DETACHED!B:B,B289)+COUNTIF('A.S.PRINTOUT'!B:B,B289)-1,"-"))</f>
        <v/>
      </c>
      <c r="C289" s="21" t="n"/>
    </row>
    <row r="290" ht="15.75" customHeight="1" s="102">
      <c r="A290" s="13">
        <f>IF(B290="","-",IF(COUNTIF(E.DETACHED!B:B,B290)+COUNTIF('A.S.PRINTOUT'!B:B,B290)&gt;1,COUNTIF(E.DETACHED!B:B,B290)+COUNTIF('A.S.PRINTOUT'!B:B,B290)-1,"-"))</f>
        <v/>
      </c>
      <c r="C290" s="21" t="n"/>
    </row>
    <row r="291" ht="15.75" customHeight="1" s="102">
      <c r="A291" s="13">
        <f>IF(B291="","-",IF(COUNTIF(E.DETACHED!B:B,B291)+COUNTIF('A.S.PRINTOUT'!B:B,B291)&gt;1,COUNTIF(E.DETACHED!B:B,B291)+COUNTIF('A.S.PRINTOUT'!B:B,B291)-1,"-"))</f>
        <v/>
      </c>
      <c r="C291" s="21" t="n"/>
    </row>
    <row r="292" ht="15.75" customHeight="1" s="102">
      <c r="A292" s="13">
        <f>IF(B292="","-",IF(COUNTIF(E.DETACHED!B:B,B292)+COUNTIF('A.S.PRINTOUT'!B:B,B292)&gt;1,COUNTIF(E.DETACHED!B:B,B292)+COUNTIF('A.S.PRINTOUT'!B:B,B292)-1,"-"))</f>
        <v/>
      </c>
      <c r="C292" s="21" t="n"/>
    </row>
    <row r="293" ht="15.75" customHeight="1" s="102">
      <c r="A293" s="13">
        <f>IF(B293="","-",IF(COUNTIF(E.DETACHED!B:B,B293)+COUNTIF('A.S.PRINTOUT'!B:B,B293)&gt;1,COUNTIF(E.DETACHED!B:B,B293)+COUNTIF('A.S.PRINTOUT'!B:B,B293)-1,"-"))</f>
        <v/>
      </c>
      <c r="C293" s="21" t="n"/>
    </row>
    <row r="294" ht="15.75" customHeight="1" s="102">
      <c r="A294" s="13">
        <f>IF(B294="","-",IF(COUNTIF(E.DETACHED!B:B,B294)+COUNTIF('A.S.PRINTOUT'!B:B,B294)&gt;1,COUNTIF(E.DETACHED!B:B,B294)+COUNTIF('A.S.PRINTOUT'!B:B,B294)-1,"-"))</f>
        <v/>
      </c>
      <c r="C294" s="21" t="n"/>
    </row>
    <row r="295" ht="15.75" customHeight="1" s="102">
      <c r="A295" s="13">
        <f>IF(B295="","-",IF(COUNTIF(E.DETACHED!B:B,B295)+COUNTIF('A.S.PRINTOUT'!B:B,B295)&gt;1,COUNTIF(E.DETACHED!B:B,B295)+COUNTIF('A.S.PRINTOUT'!B:B,B295)-1,"-"))</f>
        <v/>
      </c>
      <c r="C295" s="21" t="n"/>
    </row>
    <row r="296" ht="15.75" customHeight="1" s="102">
      <c r="A296" s="13">
        <f>IF(B296="","-",IF(COUNTIF(E.DETACHED!B:B,B296)+COUNTIF('A.S.PRINTOUT'!B:B,B296)&gt;1,COUNTIF(E.DETACHED!B:B,B296)+COUNTIF('A.S.PRINTOUT'!B:B,B296)-1,"-"))</f>
        <v/>
      </c>
      <c r="C296" s="21" t="n"/>
    </row>
    <row r="297" ht="15.75" customHeight="1" s="102">
      <c r="A297" s="13">
        <f>IF(B297="","-",IF(COUNTIF(E.DETACHED!B:B,B297)+COUNTIF('A.S.PRINTOUT'!B:B,B297)&gt;1,COUNTIF(E.DETACHED!B:B,B297)+COUNTIF('A.S.PRINTOUT'!B:B,B297)-1,"-"))</f>
        <v/>
      </c>
      <c r="C297" s="21" t="n"/>
    </row>
    <row r="298" ht="15.75" customHeight="1" s="102">
      <c r="A298" s="13">
        <f>IF(B298="","-",IF(COUNTIF(E.DETACHED!B:B,B298)+COUNTIF('A.S.PRINTOUT'!B:B,B298)&gt;1,COUNTIF(E.DETACHED!B:B,B298)+COUNTIF('A.S.PRINTOUT'!B:B,B298)-1,"-"))</f>
        <v/>
      </c>
      <c r="C298" s="21" t="n"/>
    </row>
    <row r="299" ht="15.75" customHeight="1" s="102">
      <c r="A299" s="13">
        <f>IF(B299="","-",IF(COUNTIF(E.DETACHED!B:B,B299)+COUNTIF('A.S.PRINTOUT'!B:B,B299)&gt;1,COUNTIF(E.DETACHED!B:B,B299)+COUNTIF('A.S.PRINTOUT'!B:B,B299)-1,"-"))</f>
        <v/>
      </c>
      <c r="C299" s="21" t="n"/>
    </row>
    <row r="300" ht="15.75" customHeight="1" s="102">
      <c r="A300" s="13">
        <f>IF(B300="","-",IF(COUNTIF(E.DETACHED!B:B,B300)+COUNTIF('A.S.PRINTOUT'!B:B,B300)&gt;1,COUNTIF(E.DETACHED!B:B,B300)+COUNTIF('A.S.PRINTOUT'!B:B,B300)-1,"-"))</f>
        <v/>
      </c>
      <c r="C300" s="21" t="n"/>
    </row>
    <row r="301" ht="15.75" customHeight="1" s="102">
      <c r="A301" s="13">
        <f>IF(B301="","-",IF(COUNTIF(E.DETACHED!B:B,B301)+COUNTIF('A.S.PRINTOUT'!B:B,B301)&gt;1,COUNTIF(E.DETACHED!B:B,B301)+COUNTIF('A.S.PRINTOUT'!B:B,B301)-1,"-"))</f>
        <v/>
      </c>
      <c r="C301" s="21" t="n"/>
    </row>
    <row r="302" ht="15.75" customHeight="1" s="102">
      <c r="A302" s="13">
        <f>IF(B302="","-",IF(COUNTIF(E.DETACHED!B:B,B302)+COUNTIF('A.S.PRINTOUT'!B:B,B302)&gt;1,COUNTIF(E.DETACHED!B:B,B302)+COUNTIF('A.S.PRINTOUT'!B:B,B302)-1,"-"))</f>
        <v/>
      </c>
      <c r="C302" s="21" t="n"/>
    </row>
    <row r="303" ht="15.75" customHeight="1" s="102">
      <c r="A303" s="13">
        <f>IF(B303="","-",IF(COUNTIF(E.DETACHED!B:B,B303)+COUNTIF('A.S.PRINTOUT'!B:B,B303)&gt;1,COUNTIF(E.DETACHED!B:B,B303)+COUNTIF('A.S.PRINTOUT'!B:B,B303)-1,"-"))</f>
        <v/>
      </c>
      <c r="C303" s="21" t="n"/>
    </row>
    <row r="304" ht="15.75" customHeight="1" s="102">
      <c r="A304" s="13">
        <f>IF(B304="","-",IF(COUNTIF(E.DETACHED!B:B,B304)+COUNTIF('A.S.PRINTOUT'!B:B,B304)&gt;1,COUNTIF(E.DETACHED!B:B,B304)+COUNTIF('A.S.PRINTOUT'!B:B,B304)-1,"-"))</f>
        <v/>
      </c>
      <c r="C304" s="21" t="n"/>
    </row>
    <row r="305" ht="15.75" customHeight="1" s="102">
      <c r="A305" s="13">
        <f>IF(B305="","-",IF(COUNTIF(E.DETACHED!B:B,B305)+COUNTIF('A.S.PRINTOUT'!B:B,B305)&gt;1,COUNTIF(E.DETACHED!B:B,B305)+COUNTIF('A.S.PRINTOUT'!B:B,B305)-1,"-"))</f>
        <v/>
      </c>
      <c r="C305" s="21" t="n"/>
    </row>
    <row r="306" ht="15.75" customHeight="1" s="102">
      <c r="A306" s="13">
        <f>IF(B306="","-",IF(COUNTIF(E.DETACHED!B:B,B306)+COUNTIF('A.S.PRINTOUT'!B:B,B306)&gt;1,COUNTIF(E.DETACHED!B:B,B306)+COUNTIF('A.S.PRINTOUT'!B:B,B306)-1,"-"))</f>
        <v/>
      </c>
      <c r="C306" s="21" t="n"/>
    </row>
    <row r="307" ht="15.75" customHeight="1" s="102">
      <c r="A307" s="13">
        <f>IF(B307="","-",IF(COUNTIF(E.DETACHED!B:B,B307)+COUNTIF('A.S.PRINTOUT'!B:B,B307)&gt;1,COUNTIF(E.DETACHED!B:B,B307)+COUNTIF('A.S.PRINTOUT'!B:B,B307)-1,"-"))</f>
        <v/>
      </c>
      <c r="C307" s="21" t="n"/>
    </row>
    <row r="308" ht="15.75" customHeight="1" s="102">
      <c r="A308" s="13">
        <f>IF(B308="","-",IF(COUNTIF(E.DETACHED!B:B,B308)+COUNTIF('A.S.PRINTOUT'!B:B,B308)&gt;1,COUNTIF(E.DETACHED!B:B,B308)+COUNTIF('A.S.PRINTOUT'!B:B,B308)-1,"-"))</f>
        <v/>
      </c>
      <c r="C308" s="21" t="n"/>
    </row>
    <row r="309" ht="15.75" customHeight="1" s="102">
      <c r="A309" s="13">
        <f>IF(B309="","-",IF(COUNTIF(E.DETACHED!B:B,B309)+COUNTIF('A.S.PRINTOUT'!B:B,B309)&gt;1,COUNTIF(E.DETACHED!B:B,B309)+COUNTIF('A.S.PRINTOUT'!B:B,B309)-1,"-"))</f>
        <v/>
      </c>
      <c r="C309" s="21" t="n"/>
    </row>
    <row r="310" ht="15.75" customHeight="1" s="102">
      <c r="A310" s="13">
        <f>IF(B310="","-",IF(COUNTIF(E.DETACHED!B:B,B310)+COUNTIF('A.S.PRINTOUT'!B:B,B310)&gt;1,COUNTIF(E.DETACHED!B:B,B310)+COUNTIF('A.S.PRINTOUT'!B:B,B310)-1,"-"))</f>
        <v/>
      </c>
      <c r="C310" s="21" t="n"/>
    </row>
    <row r="311" ht="15.75" customHeight="1" s="102">
      <c r="A311" s="13">
        <f>IF(B311="","-",IF(COUNTIF(E.DETACHED!B:B,B311)+COUNTIF('A.S.PRINTOUT'!B:B,B311)&gt;1,COUNTIF(E.DETACHED!B:B,B311)+COUNTIF('A.S.PRINTOUT'!B:B,B311)-1,"-"))</f>
        <v/>
      </c>
      <c r="C311" s="21" t="n"/>
    </row>
    <row r="312" ht="15.75" customHeight="1" s="102">
      <c r="A312" s="13">
        <f>IF(B312="","-",IF(COUNTIF(E.DETACHED!B:B,B312)+COUNTIF('A.S.PRINTOUT'!B:B,B312)&gt;1,COUNTIF(E.DETACHED!B:B,B312)+COUNTIF('A.S.PRINTOUT'!B:B,B312)-1,"-"))</f>
        <v/>
      </c>
      <c r="C312" s="21" t="n"/>
    </row>
    <row r="313" ht="15.75" customHeight="1" s="102">
      <c r="A313" s="13">
        <f>IF(B313="","-",IF(COUNTIF(E.DETACHED!B:B,B313)+COUNTIF('A.S.PRINTOUT'!B:B,B313)&gt;1,COUNTIF(E.DETACHED!B:B,B313)+COUNTIF('A.S.PRINTOUT'!B:B,B313)-1,"-"))</f>
        <v/>
      </c>
      <c r="C313" s="21" t="n"/>
    </row>
    <row r="314" ht="15.75" customHeight="1" s="102">
      <c r="A314" s="13">
        <f>IF(B314="","-",IF(COUNTIF(E.DETACHED!B:B,B314)+COUNTIF('A.S.PRINTOUT'!B:B,B314)&gt;1,COUNTIF(E.DETACHED!B:B,B314)+COUNTIF('A.S.PRINTOUT'!B:B,B314)-1,"-"))</f>
        <v/>
      </c>
      <c r="C314" s="21" t="n"/>
    </row>
    <row r="315" ht="15.75" customHeight="1" s="102">
      <c r="A315" s="13">
        <f>IF(B315="","-",IF(COUNTIF(E.DETACHED!B:B,B315)+COUNTIF('A.S.PRINTOUT'!B:B,B315)&gt;1,COUNTIF(E.DETACHED!B:B,B315)+COUNTIF('A.S.PRINTOUT'!B:B,B315)-1,"-"))</f>
        <v/>
      </c>
      <c r="C315" s="21" t="n"/>
    </row>
    <row r="316" ht="15.75" customHeight="1" s="102">
      <c r="A316" s="13">
        <f>IF(B316="","-",IF(COUNTIF(E.DETACHED!B:B,B316)+COUNTIF('A.S.PRINTOUT'!B:B,B316)&gt;1,COUNTIF(E.DETACHED!B:B,B316)+COUNTIF('A.S.PRINTOUT'!B:B,B316)-1,"-"))</f>
        <v/>
      </c>
      <c r="C316" s="21" t="n"/>
    </row>
    <row r="317" ht="15.75" customHeight="1" s="102">
      <c r="A317" s="13">
        <f>IF(B317="","-",IF(COUNTIF(E.DETACHED!B:B,B317)+COUNTIF('A.S.PRINTOUT'!B:B,B317)&gt;1,COUNTIF(E.DETACHED!B:B,B317)+COUNTIF('A.S.PRINTOUT'!B:B,B317)-1,"-"))</f>
        <v/>
      </c>
      <c r="C317" s="21" t="n"/>
    </row>
    <row r="318" ht="15.75" customHeight="1" s="102">
      <c r="A318" s="13">
        <f>IF(B318="","-",IF(COUNTIF(E.DETACHED!B:B,B318)+COUNTIF('A.S.PRINTOUT'!B:B,B318)&gt;1,COUNTIF(E.DETACHED!B:B,B318)+COUNTIF('A.S.PRINTOUT'!B:B,B318)-1,"-"))</f>
        <v/>
      </c>
      <c r="C318" s="21" t="n"/>
    </row>
    <row r="319" ht="15.75" customHeight="1" s="102">
      <c r="A319" s="13">
        <f>IF(B319="","-",IF(COUNTIF(E.DETACHED!B:B,B319)+COUNTIF('A.S.PRINTOUT'!B:B,B319)&gt;1,COUNTIF(E.DETACHED!B:B,B319)+COUNTIF('A.S.PRINTOUT'!B:B,B319)-1,"-"))</f>
        <v/>
      </c>
      <c r="C319" s="21" t="n"/>
    </row>
    <row r="320" ht="15.75" customHeight="1" s="102">
      <c r="A320" s="13">
        <f>IF(B320="","-",IF(COUNTIF(E.DETACHED!B:B,B320)+COUNTIF('A.S.PRINTOUT'!B:B,B320)&gt;1,COUNTIF(E.DETACHED!B:B,B320)+COUNTIF('A.S.PRINTOUT'!B:B,B320)-1,"-"))</f>
        <v/>
      </c>
      <c r="C320" s="21" t="n"/>
    </row>
    <row r="321" ht="15.75" customHeight="1" s="102">
      <c r="A321" s="13">
        <f>IF(B321="","-",IF(COUNTIF(E.DETACHED!B:B,B321)+COUNTIF('A.S.PRINTOUT'!B:B,B321)&gt;1,COUNTIF(E.DETACHED!B:B,B321)+COUNTIF('A.S.PRINTOUT'!B:B,B321)-1,"-"))</f>
        <v/>
      </c>
      <c r="C321" s="21" t="n"/>
    </row>
    <row r="322" ht="15.75" customHeight="1" s="102">
      <c r="A322" s="13">
        <f>IF(B322="","-",IF(COUNTIF(E.DETACHED!B:B,B322)+COUNTIF('A.S.PRINTOUT'!B:B,B322)&gt;1,COUNTIF(E.DETACHED!B:B,B322)+COUNTIF('A.S.PRINTOUT'!B:B,B322)-1,"-"))</f>
        <v/>
      </c>
      <c r="C322" s="21" t="n"/>
    </row>
    <row r="323" ht="15.75" customHeight="1" s="102">
      <c r="A323" s="13">
        <f>IF(B323="","-",IF(COUNTIF(E.DETACHED!B:B,B323)+COUNTIF('A.S.PRINTOUT'!B:B,B323)&gt;1,COUNTIF(E.DETACHED!B:B,B323)+COUNTIF('A.S.PRINTOUT'!B:B,B323)-1,"-"))</f>
        <v/>
      </c>
      <c r="C323" s="21" t="n"/>
    </row>
    <row r="324" ht="15.75" customHeight="1" s="102">
      <c r="A324" s="13">
        <f>IF(B324="","-",IF(COUNTIF(E.DETACHED!B:B,B324)+COUNTIF('A.S.PRINTOUT'!B:B,B324)&gt;1,COUNTIF(E.DETACHED!B:B,B324)+COUNTIF('A.S.PRINTOUT'!B:B,B324)-1,"-"))</f>
        <v/>
      </c>
      <c r="C324" s="21" t="n"/>
    </row>
    <row r="325" ht="15.75" customHeight="1" s="102">
      <c r="A325" s="13">
        <f>IF(B325="","-",IF(COUNTIF(E.DETACHED!B:B,B325)+COUNTIF('A.S.PRINTOUT'!B:B,B325)&gt;1,COUNTIF(E.DETACHED!B:B,B325)+COUNTIF('A.S.PRINTOUT'!B:B,B325)-1,"-"))</f>
        <v/>
      </c>
      <c r="C325" s="21" t="n"/>
    </row>
    <row r="326" ht="15.75" customHeight="1" s="102">
      <c r="A326" s="13">
        <f>IF(B326="","-",IF(COUNTIF(E.DETACHED!B:B,B326)+COUNTIF('A.S.PRINTOUT'!B:B,B326)&gt;1,COUNTIF(E.DETACHED!B:B,B326)+COUNTIF('A.S.PRINTOUT'!B:B,B326)-1,"-"))</f>
        <v/>
      </c>
      <c r="C326" s="21" t="n"/>
    </row>
    <row r="327" ht="15.75" customHeight="1" s="102">
      <c r="A327" s="13">
        <f>IF(B327="","-",IF(COUNTIF(E.DETACHED!B:B,B327)+COUNTIF('A.S.PRINTOUT'!B:B,B327)&gt;1,COUNTIF(E.DETACHED!B:B,B327)+COUNTIF('A.S.PRINTOUT'!B:B,B327)-1,"-"))</f>
        <v/>
      </c>
      <c r="C327" s="21" t="n"/>
    </row>
    <row r="328" ht="15.75" customHeight="1" s="102">
      <c r="A328" s="13">
        <f>IF(B328="","-",IF(COUNTIF(E.DETACHED!B:B,B328)+COUNTIF('A.S.PRINTOUT'!B:B,B328)&gt;1,COUNTIF(E.DETACHED!B:B,B328)+COUNTIF('A.S.PRINTOUT'!B:B,B328)-1,"-"))</f>
        <v/>
      </c>
      <c r="C328" s="21" t="n"/>
    </row>
    <row r="329" ht="15.75" customHeight="1" s="102">
      <c r="A329" s="13">
        <f>IF(B329="","-",IF(COUNTIF(E.DETACHED!B:B,B329)+COUNTIF('A.S.PRINTOUT'!B:B,B329)&gt;1,COUNTIF(E.DETACHED!B:B,B329)+COUNTIF('A.S.PRINTOUT'!B:B,B329)-1,"-"))</f>
        <v/>
      </c>
      <c r="C329" s="21" t="n"/>
    </row>
    <row r="330" ht="15.75" customHeight="1" s="102">
      <c r="A330" s="13">
        <f>IF(B330="","-",IF(COUNTIF(E.DETACHED!B:B,B330)+COUNTIF('A.S.PRINTOUT'!B:B,B330)&gt;1,COUNTIF(E.DETACHED!B:B,B330)+COUNTIF('A.S.PRINTOUT'!B:B,B330)-1,"-"))</f>
        <v/>
      </c>
      <c r="C330" s="21" t="n"/>
    </row>
    <row r="331" ht="15.75" customHeight="1" s="102">
      <c r="A331" s="13">
        <f>IF(B331="","-",IF(COUNTIF(E.DETACHED!B:B,B331)+COUNTIF('A.S.PRINTOUT'!B:B,B331)&gt;1,COUNTIF(E.DETACHED!B:B,B331)+COUNTIF('A.S.PRINTOUT'!B:B,B331)-1,"-"))</f>
        <v/>
      </c>
      <c r="C331" s="21" t="n"/>
    </row>
    <row r="332" ht="15.75" customHeight="1" s="102">
      <c r="A332" s="13">
        <f>IF(B332="","-",IF(COUNTIF(E.DETACHED!B:B,B332)+COUNTIF('A.S.PRINTOUT'!B:B,B332)&gt;1,COUNTIF(E.DETACHED!B:B,B332)+COUNTIF('A.S.PRINTOUT'!B:B,B332)-1,"-"))</f>
        <v/>
      </c>
      <c r="C332" s="21" t="n"/>
    </row>
    <row r="333" ht="15.75" customHeight="1" s="102">
      <c r="A333" s="13">
        <f>IF(B333="","-",IF(COUNTIF(E.DETACHED!B:B,B333)+COUNTIF('A.S.PRINTOUT'!B:B,B333)&gt;1,COUNTIF(E.DETACHED!B:B,B333)+COUNTIF('A.S.PRINTOUT'!B:B,B333)-1,"-"))</f>
        <v/>
      </c>
      <c r="C333" s="21" t="n"/>
    </row>
    <row r="334" ht="15.75" customHeight="1" s="102">
      <c r="A334" s="13">
        <f>IF(B334="","-",IF(COUNTIF(E.DETACHED!B:B,B334)+COUNTIF('A.S.PRINTOUT'!B:B,B334)&gt;1,COUNTIF(E.DETACHED!B:B,B334)+COUNTIF('A.S.PRINTOUT'!B:B,B334)-1,"-"))</f>
        <v/>
      </c>
      <c r="C334" s="21" t="n"/>
    </row>
    <row r="335" ht="15.75" customHeight="1" s="102">
      <c r="A335" s="13">
        <f>IF(B335="","-",IF(COUNTIF(E.DETACHED!B:B,B335)+COUNTIF('A.S.PRINTOUT'!B:B,B335)&gt;1,COUNTIF(E.DETACHED!B:B,B335)+COUNTIF('A.S.PRINTOUT'!B:B,B335)-1,"-"))</f>
        <v/>
      </c>
      <c r="C335" s="21" t="n"/>
    </row>
    <row r="336" ht="15.75" customHeight="1" s="102">
      <c r="A336" s="13">
        <f>IF(B336="","-",IF(COUNTIF(E.DETACHED!B:B,B336)+COUNTIF('A.S.PRINTOUT'!B:B,B336)&gt;1,COUNTIF(E.DETACHED!B:B,B336)+COUNTIF('A.S.PRINTOUT'!B:B,B336)-1,"-"))</f>
        <v/>
      </c>
      <c r="C336" s="21" t="n"/>
    </row>
    <row r="337" ht="15.75" customHeight="1" s="102">
      <c r="A337" s="13">
        <f>IF(B337="","-",IF(COUNTIF(E.DETACHED!B:B,B337)+COUNTIF('A.S.PRINTOUT'!B:B,B337)&gt;1,COUNTIF(E.DETACHED!B:B,B337)+COUNTIF('A.S.PRINTOUT'!B:B,B337)-1,"-"))</f>
        <v/>
      </c>
      <c r="C337" s="21" t="n"/>
    </row>
    <row r="338" ht="15.75" customHeight="1" s="102">
      <c r="A338" s="13">
        <f>IF(B338="","-",IF(COUNTIF(E.DETACHED!B:B,B338)+COUNTIF('A.S.PRINTOUT'!B:B,B338)&gt;1,COUNTIF(E.DETACHED!B:B,B338)+COUNTIF('A.S.PRINTOUT'!B:B,B338)-1,"-"))</f>
        <v/>
      </c>
      <c r="C338" s="21" t="n"/>
    </row>
    <row r="339" ht="15.75" customHeight="1" s="102">
      <c r="A339" s="13">
        <f>IF(B339="","-",IF(COUNTIF(E.DETACHED!B:B,B339)+COUNTIF('A.S.PRINTOUT'!B:B,B339)&gt;1,COUNTIF(E.DETACHED!B:B,B339)+COUNTIF('A.S.PRINTOUT'!B:B,B339)-1,"-"))</f>
        <v/>
      </c>
      <c r="C339" s="21" t="n"/>
    </row>
    <row r="340" ht="15.75" customHeight="1" s="102">
      <c r="A340" s="13">
        <f>IF(B340="","-",IF(COUNTIF(E.DETACHED!B:B,B340)+COUNTIF('A.S.PRINTOUT'!B:B,B340)&gt;1,COUNTIF(E.DETACHED!B:B,B340)+COUNTIF('A.S.PRINTOUT'!B:B,B340)-1,"-"))</f>
        <v/>
      </c>
      <c r="C340" s="21" t="n"/>
    </row>
    <row r="341" ht="15.75" customHeight="1" s="102">
      <c r="A341" s="13">
        <f>IF(B341="","-",IF(COUNTIF(E.DETACHED!B:B,B341)+COUNTIF('A.S.PRINTOUT'!B:B,B341)&gt;1,COUNTIF(E.DETACHED!B:B,B341)+COUNTIF('A.S.PRINTOUT'!B:B,B341)-1,"-"))</f>
        <v/>
      </c>
      <c r="C341" s="21" t="n"/>
    </row>
    <row r="342" ht="15.75" customHeight="1" s="102">
      <c r="A342" s="13">
        <f>IF(B342="","-",IF(COUNTIF(E.DETACHED!B:B,B342)+COUNTIF('A.S.PRINTOUT'!B:B,B342)&gt;1,COUNTIF(E.DETACHED!B:B,B342)+COUNTIF('A.S.PRINTOUT'!B:B,B342)-1,"-"))</f>
        <v/>
      </c>
      <c r="C342" s="21" t="n"/>
    </row>
    <row r="343" ht="15.75" customHeight="1" s="102">
      <c r="A343" s="13">
        <f>IF(B343="","-",IF(COUNTIF(E.DETACHED!B:B,B343)+COUNTIF('A.S.PRINTOUT'!B:B,B343)&gt;1,COUNTIF(E.DETACHED!B:B,B343)+COUNTIF('A.S.PRINTOUT'!B:B,B343)-1,"-"))</f>
        <v/>
      </c>
      <c r="C343" s="21" t="n"/>
    </row>
    <row r="344" ht="15.75" customHeight="1" s="102">
      <c r="A344" s="13">
        <f>IF(B344="","-",IF(COUNTIF(E.DETACHED!B:B,B344)+COUNTIF('A.S.PRINTOUT'!B:B,B344)&gt;1,COUNTIF(E.DETACHED!B:B,B344)+COUNTIF('A.S.PRINTOUT'!B:B,B344)-1,"-"))</f>
        <v/>
      </c>
      <c r="C344" s="21" t="n"/>
    </row>
    <row r="345" ht="15.75" customHeight="1" s="102">
      <c r="A345" s="13">
        <f>IF(B345="","-",IF(COUNTIF(E.DETACHED!B:B,B345)+COUNTIF('A.S.PRINTOUT'!B:B,B345)&gt;1,COUNTIF(E.DETACHED!B:B,B345)+COUNTIF('A.S.PRINTOUT'!B:B,B345)-1,"-"))</f>
        <v/>
      </c>
      <c r="C345" s="21" t="n"/>
    </row>
    <row r="346" ht="15.75" customHeight="1" s="102">
      <c r="A346" s="13">
        <f>IF(B346="","-",IF(COUNTIF(E.DETACHED!B:B,B346)+COUNTIF('A.S.PRINTOUT'!B:B,B346)&gt;1,COUNTIF(E.DETACHED!B:B,B346)+COUNTIF('A.S.PRINTOUT'!B:B,B346)-1,"-"))</f>
        <v/>
      </c>
      <c r="C346" s="21" t="n"/>
    </row>
    <row r="347" ht="15.75" customHeight="1" s="102">
      <c r="A347" s="13">
        <f>IF(B347="","-",IF(COUNTIF(E.DETACHED!B:B,B347)+COUNTIF('A.S.PRINTOUT'!B:B,B347)&gt;1,COUNTIF(E.DETACHED!B:B,B347)+COUNTIF('A.S.PRINTOUT'!B:B,B347)-1,"-"))</f>
        <v/>
      </c>
      <c r="C347" s="21" t="n"/>
    </row>
    <row r="348" ht="15.75" customHeight="1" s="102">
      <c r="A348" s="13">
        <f>IF(B348="","-",IF(COUNTIF(E.DETACHED!B:B,B348)+COUNTIF('A.S.PRINTOUT'!B:B,B348)&gt;1,COUNTIF(E.DETACHED!B:B,B348)+COUNTIF('A.S.PRINTOUT'!B:B,B348)-1,"-"))</f>
        <v/>
      </c>
      <c r="C348" s="21" t="n"/>
    </row>
    <row r="349" ht="15.75" customHeight="1" s="102">
      <c r="A349" s="13">
        <f>IF(B349="","-",IF(COUNTIF(E.DETACHED!B:B,B349)+COUNTIF('A.S.PRINTOUT'!B:B,B349)&gt;1,COUNTIF(E.DETACHED!B:B,B349)+COUNTIF('A.S.PRINTOUT'!B:B,B349)-1,"-"))</f>
        <v/>
      </c>
      <c r="C349" s="21" t="n"/>
    </row>
    <row r="350" ht="15.75" customHeight="1" s="102">
      <c r="A350" s="13">
        <f>IF(B350="","-",IF(COUNTIF(E.DETACHED!B:B,B350)+COUNTIF('A.S.PRINTOUT'!B:B,B350)&gt;1,COUNTIF(E.DETACHED!B:B,B350)+COUNTIF('A.S.PRINTOUT'!B:B,B350)-1,"-"))</f>
        <v/>
      </c>
      <c r="C350" s="21" t="n"/>
    </row>
    <row r="351" ht="15.75" customHeight="1" s="102">
      <c r="A351" s="13">
        <f>IF(B351="","-",IF(COUNTIF(E.DETACHED!B:B,B351)+COUNTIF('A.S.PRINTOUT'!B:B,B351)&gt;1,COUNTIF(E.DETACHED!B:B,B351)+COUNTIF('A.S.PRINTOUT'!B:B,B351)-1,"-"))</f>
        <v/>
      </c>
      <c r="C351" s="21" t="n"/>
    </row>
    <row r="352" ht="15.75" customHeight="1" s="102">
      <c r="A352" s="13">
        <f>IF(B352="","-",IF(COUNTIF(E.DETACHED!B:B,B352)+COUNTIF('A.S.PRINTOUT'!B:B,B352)&gt;1,COUNTIF(E.DETACHED!B:B,B352)+COUNTIF('A.S.PRINTOUT'!B:B,B352)-1,"-"))</f>
        <v/>
      </c>
      <c r="C352" s="21" t="n"/>
    </row>
    <row r="353" ht="15.75" customHeight="1" s="102">
      <c r="A353" s="13">
        <f>IF(B353="","-",IF(COUNTIF(E.DETACHED!B:B,B353)+COUNTIF('A.S.PRINTOUT'!B:B,B353)&gt;1,COUNTIF(E.DETACHED!B:B,B353)+COUNTIF('A.S.PRINTOUT'!B:B,B353)-1,"-"))</f>
        <v/>
      </c>
      <c r="C353" s="21" t="n"/>
    </row>
    <row r="354" ht="15.75" customHeight="1" s="102">
      <c r="A354" s="13">
        <f>IF(B354="","-",IF(COUNTIF(E.DETACHED!B:B,B354)+COUNTIF('A.S.PRINTOUT'!B:B,B354)&gt;1,COUNTIF(E.DETACHED!B:B,B354)+COUNTIF('A.S.PRINTOUT'!B:B,B354)-1,"-"))</f>
        <v/>
      </c>
      <c r="C354" s="21" t="n"/>
    </row>
    <row r="355" ht="15.75" customHeight="1" s="102">
      <c r="A355" s="13">
        <f>IF(B355="","-",IF(COUNTIF(E.DETACHED!B:B,B355)+COUNTIF('A.S.PRINTOUT'!B:B,B355)&gt;1,COUNTIF(E.DETACHED!B:B,B355)+COUNTIF('A.S.PRINTOUT'!B:B,B355)-1,"-"))</f>
        <v/>
      </c>
      <c r="C355" s="21" t="n"/>
    </row>
    <row r="356" ht="15.75" customHeight="1" s="102">
      <c r="A356" s="13">
        <f>IF(B356="","-",IF(COUNTIF(E.DETACHED!B:B,B356)+COUNTIF('A.S.PRINTOUT'!B:B,B356)&gt;1,COUNTIF(E.DETACHED!B:B,B356)+COUNTIF('A.S.PRINTOUT'!B:B,B356)-1,"-"))</f>
        <v/>
      </c>
      <c r="C356" s="21" t="n"/>
    </row>
    <row r="357" ht="15.75" customHeight="1" s="102">
      <c r="A357" s="13">
        <f>IF(B357="","-",IF(COUNTIF(E.DETACHED!B:B,B357)+COUNTIF('A.S.PRINTOUT'!B:B,B357)&gt;1,COUNTIF(E.DETACHED!B:B,B357)+COUNTIF('A.S.PRINTOUT'!B:B,B357)-1,"-"))</f>
        <v/>
      </c>
      <c r="C357" s="21" t="n"/>
    </row>
    <row r="358" ht="15.75" customHeight="1" s="102">
      <c r="A358" s="13">
        <f>IF(B358="","-",IF(COUNTIF(E.DETACHED!B:B,B358)+COUNTIF('A.S.PRINTOUT'!B:B,B358)&gt;1,COUNTIF(E.DETACHED!B:B,B358)+COUNTIF('A.S.PRINTOUT'!B:B,B358)-1,"-"))</f>
        <v/>
      </c>
      <c r="C358" s="21" t="n"/>
    </row>
    <row r="359" ht="15.75" customHeight="1" s="102">
      <c r="A359" s="13">
        <f>IF(B359="","-",IF(COUNTIF(E.DETACHED!B:B,B359)+COUNTIF('A.S.PRINTOUT'!B:B,B359)&gt;1,COUNTIF(E.DETACHED!B:B,B359)+COUNTIF('A.S.PRINTOUT'!B:B,B359)-1,"-"))</f>
        <v/>
      </c>
      <c r="C359" s="21" t="n"/>
    </row>
    <row r="360" ht="15.75" customHeight="1" s="102">
      <c r="A360" s="13">
        <f>IF(B360="","-",IF(COUNTIF(E.DETACHED!B:B,B360)+COUNTIF('A.S.PRINTOUT'!B:B,B360)&gt;1,COUNTIF(E.DETACHED!B:B,B360)+COUNTIF('A.S.PRINTOUT'!B:B,B360)-1,"-"))</f>
        <v/>
      </c>
      <c r="C360" s="21" t="n"/>
    </row>
    <row r="361" ht="15.75" customHeight="1" s="102">
      <c r="A361" s="13">
        <f>IF(B361="","-",IF(COUNTIF(E.DETACHED!B:B,B361)+COUNTIF('A.S.PRINTOUT'!B:B,B361)&gt;1,COUNTIF(E.DETACHED!B:B,B361)+COUNTIF('A.S.PRINTOUT'!B:B,B361)-1,"-"))</f>
        <v/>
      </c>
      <c r="C361" s="21" t="n"/>
    </row>
    <row r="362" ht="15.75" customHeight="1" s="102">
      <c r="A362" s="13">
        <f>IF(B362="","-",IF(COUNTIF(E.DETACHED!B:B,B362)+COUNTIF('A.S.PRINTOUT'!B:B,B362)&gt;1,COUNTIF(E.DETACHED!B:B,B362)+COUNTIF('A.S.PRINTOUT'!B:B,B362)-1,"-"))</f>
        <v/>
      </c>
      <c r="C362" s="21" t="n"/>
    </row>
    <row r="363" ht="15.75" customHeight="1" s="102">
      <c r="A363" s="13">
        <f>IF(B363="","-",IF(COUNTIF(E.DETACHED!B:B,B363)+COUNTIF('A.S.PRINTOUT'!B:B,B363)&gt;1,COUNTIF(E.DETACHED!B:B,B363)+COUNTIF('A.S.PRINTOUT'!B:B,B363)-1,"-"))</f>
        <v/>
      </c>
      <c r="C363" s="21" t="n"/>
    </row>
    <row r="364" ht="15.75" customHeight="1" s="102">
      <c r="A364" s="13">
        <f>IF(B364="","-",IF(COUNTIF(E.DETACHED!B:B,B364)+COUNTIF('A.S.PRINTOUT'!B:B,B364)&gt;1,COUNTIF(E.DETACHED!B:B,B364)+COUNTIF('A.S.PRINTOUT'!B:B,B364)-1,"-"))</f>
        <v/>
      </c>
      <c r="C364" s="21" t="n"/>
    </row>
    <row r="365" ht="15.75" customHeight="1" s="102">
      <c r="A365" s="13">
        <f>IF(B365="","-",IF(COUNTIF(E.DETACHED!B:B,B365)+COUNTIF('A.S.PRINTOUT'!B:B,B365)&gt;1,COUNTIF(E.DETACHED!B:B,B365)+COUNTIF('A.S.PRINTOUT'!B:B,B365)-1,"-"))</f>
        <v/>
      </c>
      <c r="C365" s="21" t="n"/>
    </row>
    <row r="366" ht="15.75" customHeight="1" s="102">
      <c r="A366" s="13">
        <f>IF(B366="","-",IF(COUNTIF(E.DETACHED!B:B,B366)+COUNTIF('A.S.PRINTOUT'!B:B,B366)&gt;1,COUNTIF(E.DETACHED!B:B,B366)+COUNTIF('A.S.PRINTOUT'!B:B,B366)-1,"-"))</f>
        <v/>
      </c>
      <c r="C366" s="21" t="n"/>
    </row>
    <row r="367" ht="15.75" customHeight="1" s="102">
      <c r="A367" s="13">
        <f>IF(B367="","-",IF(COUNTIF(E.DETACHED!B:B,B367)+COUNTIF('A.S.PRINTOUT'!B:B,B367)&gt;1,COUNTIF(E.DETACHED!B:B,B367)+COUNTIF('A.S.PRINTOUT'!B:B,B367)-1,"-"))</f>
        <v/>
      </c>
      <c r="C367" s="21" t="n"/>
    </row>
    <row r="368" ht="15.75" customHeight="1" s="102">
      <c r="A368" s="13">
        <f>IF(B368="","-",IF(COUNTIF(E.DETACHED!B:B,B368)+COUNTIF('A.S.PRINTOUT'!B:B,B368)&gt;1,COUNTIF(E.DETACHED!B:B,B368)+COUNTIF('A.S.PRINTOUT'!B:B,B368)-1,"-"))</f>
        <v/>
      </c>
      <c r="C368" s="21" t="n"/>
    </row>
    <row r="369" ht="15.75" customHeight="1" s="102">
      <c r="A369" s="13">
        <f>IF(B369="","-",IF(COUNTIF(E.DETACHED!B:B,B369)+COUNTIF('A.S.PRINTOUT'!B:B,B369)&gt;1,COUNTIF(E.DETACHED!B:B,B369)+COUNTIF('A.S.PRINTOUT'!B:B,B369)-1,"-"))</f>
        <v/>
      </c>
      <c r="C369" s="21" t="n"/>
    </row>
    <row r="370" ht="15.75" customHeight="1" s="102">
      <c r="A370" s="13">
        <f>IF(B370="","-",IF(COUNTIF(E.DETACHED!B:B,B370)+COUNTIF('A.S.PRINTOUT'!B:B,B370)&gt;1,COUNTIF(E.DETACHED!B:B,B370)+COUNTIF('A.S.PRINTOUT'!B:B,B370)-1,"-"))</f>
        <v/>
      </c>
      <c r="C370" s="21" t="n"/>
    </row>
    <row r="371" ht="15.75" customHeight="1" s="102">
      <c r="A371" s="13">
        <f>IF(B371="","-",IF(COUNTIF(E.DETACHED!B:B,B371)+COUNTIF('A.S.PRINTOUT'!B:B,B371)&gt;1,COUNTIF(E.DETACHED!B:B,B371)+COUNTIF('A.S.PRINTOUT'!B:B,B371)-1,"-"))</f>
        <v/>
      </c>
      <c r="C371" s="21" t="n"/>
    </row>
    <row r="372" ht="15.75" customHeight="1" s="102">
      <c r="A372" s="13">
        <f>IF(B372="","-",IF(COUNTIF(E.DETACHED!B:B,B372)+COUNTIF('A.S.PRINTOUT'!B:B,B372)&gt;1,COUNTIF(E.DETACHED!B:B,B372)+COUNTIF('A.S.PRINTOUT'!B:B,B372)-1,"-"))</f>
        <v/>
      </c>
      <c r="C372" s="21" t="n"/>
    </row>
    <row r="373" ht="15.75" customHeight="1" s="102">
      <c r="A373" s="13">
        <f>IF(B373="","-",IF(COUNTIF(E.DETACHED!B:B,B373)+COUNTIF('A.S.PRINTOUT'!B:B,B373)&gt;1,COUNTIF(E.DETACHED!B:B,B373)+COUNTIF('A.S.PRINTOUT'!B:B,B373)-1,"-"))</f>
        <v/>
      </c>
      <c r="C373" s="21" t="n"/>
    </row>
    <row r="374" ht="15.75" customHeight="1" s="102">
      <c r="A374" s="13">
        <f>IF(B374="","-",IF(COUNTIF(E.DETACHED!B:B,B374)+COUNTIF('A.S.PRINTOUT'!B:B,B374)&gt;1,COUNTIF(E.DETACHED!B:B,B374)+COUNTIF('A.S.PRINTOUT'!B:B,B374)-1,"-"))</f>
        <v/>
      </c>
      <c r="C374" s="21" t="n"/>
    </row>
    <row r="375" ht="15.75" customHeight="1" s="102">
      <c r="A375" s="13">
        <f>IF(B375="","-",IF(COUNTIF(E.DETACHED!B:B,B375)+COUNTIF('A.S.PRINTOUT'!B:B,B375)&gt;1,COUNTIF(E.DETACHED!B:B,B375)+COUNTIF('A.S.PRINTOUT'!B:B,B375)-1,"-"))</f>
        <v/>
      </c>
      <c r="C375" s="21" t="n"/>
    </row>
    <row r="376" ht="15.75" customHeight="1" s="102">
      <c r="A376" s="13">
        <f>IF(B376="","-",IF(COUNTIF(E.DETACHED!B:B,B376)+COUNTIF('A.S.PRINTOUT'!B:B,B376)&gt;1,COUNTIF(E.DETACHED!B:B,B376)+COUNTIF('A.S.PRINTOUT'!B:B,B376)-1,"-"))</f>
        <v/>
      </c>
      <c r="C376" s="21" t="n"/>
    </row>
    <row r="377" ht="15.75" customHeight="1" s="102">
      <c r="A377" s="13">
        <f>IF(B377="","-",IF(COUNTIF(E.DETACHED!B:B,B377)+COUNTIF('A.S.PRINTOUT'!B:B,B377)&gt;1,COUNTIF(E.DETACHED!B:B,B377)+COUNTIF('A.S.PRINTOUT'!B:B,B377)-1,"-"))</f>
        <v/>
      </c>
      <c r="C377" s="21" t="n"/>
    </row>
    <row r="378" ht="15.75" customHeight="1" s="102">
      <c r="A378" s="13">
        <f>IF(B378="","-",IF(COUNTIF(E.DETACHED!B:B,B378)+COUNTIF('A.S.PRINTOUT'!B:B,B378)&gt;1,COUNTIF(E.DETACHED!B:B,B378)+COUNTIF('A.S.PRINTOUT'!B:B,B378)-1,"-"))</f>
        <v/>
      </c>
      <c r="C378" s="21" t="n"/>
    </row>
    <row r="379" ht="15.75" customHeight="1" s="102">
      <c r="A379" s="13">
        <f>IF(B379="","-",IF(COUNTIF(E.DETACHED!B:B,B379)+COUNTIF('A.S.PRINTOUT'!B:B,B379)&gt;1,COUNTIF(E.DETACHED!B:B,B379)+COUNTIF('A.S.PRINTOUT'!B:B,B379)-1,"-"))</f>
        <v/>
      </c>
      <c r="C379" s="21" t="n"/>
    </row>
    <row r="380" ht="15.75" customHeight="1" s="102">
      <c r="A380" s="13">
        <f>IF(B380="","-",IF(COUNTIF(E.DETACHED!B:B,B380)+COUNTIF('A.S.PRINTOUT'!B:B,B380)&gt;1,COUNTIF(E.DETACHED!B:B,B380)+COUNTIF('A.S.PRINTOUT'!B:B,B380)-1,"-"))</f>
        <v/>
      </c>
      <c r="C380" s="21" t="n"/>
    </row>
    <row r="381" ht="15.75" customHeight="1" s="102">
      <c r="A381" s="13">
        <f>IF(B381="","-",IF(COUNTIF(E.DETACHED!B:B,B381)+COUNTIF('A.S.PRINTOUT'!B:B,B381)&gt;1,COUNTIF(E.DETACHED!B:B,B381)+COUNTIF('A.S.PRINTOUT'!B:B,B381)-1,"-"))</f>
        <v/>
      </c>
      <c r="C381" s="21" t="n"/>
    </row>
    <row r="382" ht="15.75" customHeight="1" s="102">
      <c r="A382" s="13">
        <f>IF(B382="","-",IF(COUNTIF(E.DETACHED!B:B,B382)+COUNTIF('A.S.PRINTOUT'!B:B,B382)&gt;1,COUNTIF(E.DETACHED!B:B,B382)+COUNTIF('A.S.PRINTOUT'!B:B,B382)-1,"-"))</f>
        <v/>
      </c>
      <c r="C382" s="21" t="n"/>
    </row>
    <row r="383" ht="15.75" customHeight="1" s="102">
      <c r="A383" s="13">
        <f>IF(B383="","-",IF(COUNTIF(E.DETACHED!B:B,B383)+COUNTIF('A.S.PRINTOUT'!B:B,B383)&gt;1,COUNTIF(E.DETACHED!B:B,B383)+COUNTIF('A.S.PRINTOUT'!B:B,B383)-1,"-"))</f>
        <v/>
      </c>
      <c r="C383" s="21" t="n"/>
    </row>
    <row r="384" ht="15.75" customHeight="1" s="102">
      <c r="A384" s="13">
        <f>IF(B384="","-",IF(COUNTIF(E.DETACHED!B:B,B384)+COUNTIF('A.S.PRINTOUT'!B:B,B384)&gt;1,COUNTIF(E.DETACHED!B:B,B384)+COUNTIF('A.S.PRINTOUT'!B:B,B384)-1,"-"))</f>
        <v/>
      </c>
      <c r="C384" s="21" t="n"/>
    </row>
    <row r="385" ht="15.75" customHeight="1" s="102">
      <c r="A385" s="13">
        <f>IF(B385="","-",IF(COUNTIF(E.DETACHED!B:B,B385)+COUNTIF('A.S.PRINTOUT'!B:B,B385)&gt;1,COUNTIF(E.DETACHED!B:B,B385)+COUNTIF('A.S.PRINTOUT'!B:B,B385)-1,"-"))</f>
        <v/>
      </c>
      <c r="C385" s="21" t="n"/>
    </row>
    <row r="386" ht="15.75" customHeight="1" s="102">
      <c r="A386" s="13">
        <f>IF(B386="","-",IF(COUNTIF(E.DETACHED!B:B,B386)+COUNTIF('A.S.PRINTOUT'!B:B,B386)&gt;1,COUNTIF(E.DETACHED!B:B,B386)+COUNTIF('A.S.PRINTOUT'!B:B,B386)-1,"-"))</f>
        <v/>
      </c>
      <c r="C386" s="21" t="n"/>
    </row>
    <row r="387" ht="15.75" customHeight="1" s="102">
      <c r="A387" s="13">
        <f>IF(B387="","-",IF(COUNTIF(E.DETACHED!B:B,B387)+COUNTIF('A.S.PRINTOUT'!B:B,B387)&gt;1,COUNTIF(E.DETACHED!B:B,B387)+COUNTIF('A.S.PRINTOUT'!B:B,B387)-1,"-"))</f>
        <v/>
      </c>
      <c r="C387" s="21" t="n"/>
    </row>
    <row r="388" ht="15.75" customHeight="1" s="102">
      <c r="A388" s="13">
        <f>IF(B388="","-",IF(COUNTIF(E.DETACHED!B:B,B388)+COUNTIF('A.S.PRINTOUT'!B:B,B388)&gt;1,COUNTIF(E.DETACHED!B:B,B388)+COUNTIF('A.S.PRINTOUT'!B:B,B388)-1,"-"))</f>
        <v/>
      </c>
      <c r="C388" s="21" t="n"/>
    </row>
    <row r="389" ht="15.75" customHeight="1" s="102">
      <c r="A389" s="13">
        <f>IF(B389="","-",IF(COUNTIF(E.DETACHED!B:B,B389)+COUNTIF('A.S.PRINTOUT'!B:B,B389)&gt;1,COUNTIF(E.DETACHED!B:B,B389)+COUNTIF('A.S.PRINTOUT'!B:B,B389)-1,"-"))</f>
        <v/>
      </c>
      <c r="C389" s="21" t="n"/>
    </row>
    <row r="390" ht="15.75" customHeight="1" s="102">
      <c r="A390" s="13">
        <f>IF(B390="","-",IF(COUNTIF(E.DETACHED!B:B,B390)+COUNTIF('A.S.PRINTOUT'!B:B,B390)&gt;1,COUNTIF(E.DETACHED!B:B,B390)+COUNTIF('A.S.PRINTOUT'!B:B,B390)-1,"-"))</f>
        <v/>
      </c>
      <c r="C390" s="21" t="n"/>
    </row>
    <row r="391" ht="15.75" customHeight="1" s="102">
      <c r="A391" s="13">
        <f>IF(B391="","-",IF(COUNTIF(E.DETACHED!B:B,B391)+COUNTIF('A.S.PRINTOUT'!B:B,B391)&gt;1,COUNTIF(E.DETACHED!B:B,B391)+COUNTIF('A.S.PRINTOUT'!B:B,B391)-1,"-"))</f>
        <v/>
      </c>
      <c r="C391" s="21" t="n"/>
    </row>
    <row r="392" ht="15.75" customHeight="1" s="102">
      <c r="A392" s="13">
        <f>IF(B392="","-",IF(COUNTIF(E.DETACHED!B:B,B392)+COUNTIF('A.S.PRINTOUT'!B:B,B392)&gt;1,COUNTIF(E.DETACHED!B:B,B392)+COUNTIF('A.S.PRINTOUT'!B:B,B392)-1,"-"))</f>
        <v/>
      </c>
      <c r="C392" s="21" t="n"/>
    </row>
    <row r="393" ht="15.75" customHeight="1" s="102">
      <c r="A393" s="13">
        <f>IF(B393="","-",IF(COUNTIF(E.DETACHED!B:B,B393)+COUNTIF('A.S.PRINTOUT'!B:B,B393)&gt;1,COUNTIF(E.DETACHED!B:B,B393)+COUNTIF('A.S.PRINTOUT'!B:B,B393)-1,"-"))</f>
        <v/>
      </c>
      <c r="C393" s="21" t="n"/>
    </row>
    <row r="394" ht="15.75" customHeight="1" s="102">
      <c r="A394" s="13">
        <f>IF(B394="","-",IF(COUNTIF(E.DETACHED!B:B,B394)+COUNTIF('A.S.PRINTOUT'!B:B,B394)&gt;1,COUNTIF(E.DETACHED!B:B,B394)+COUNTIF('A.S.PRINTOUT'!B:B,B394)-1,"-"))</f>
        <v/>
      </c>
      <c r="C394" s="21" t="n"/>
    </row>
    <row r="395" ht="15.75" customHeight="1" s="102">
      <c r="A395" s="13">
        <f>IF(B395="","-",IF(COUNTIF(E.DETACHED!B:B,B395)+COUNTIF('A.S.PRINTOUT'!B:B,B395)&gt;1,COUNTIF(E.DETACHED!B:B,B395)+COUNTIF('A.S.PRINTOUT'!B:B,B395)-1,"-"))</f>
        <v/>
      </c>
      <c r="C395" s="21" t="n"/>
    </row>
    <row r="396" ht="15.75" customHeight="1" s="102">
      <c r="A396" s="13">
        <f>IF(B396="","-",IF(COUNTIF(E.DETACHED!B:B,B396)+COUNTIF('A.S.PRINTOUT'!B:B,B396)&gt;1,COUNTIF(E.DETACHED!B:B,B396)+COUNTIF('A.S.PRINTOUT'!B:B,B396)-1,"-"))</f>
        <v/>
      </c>
      <c r="C396" s="21" t="n"/>
    </row>
    <row r="397" ht="15.75" customHeight="1" s="102">
      <c r="A397" s="13">
        <f>IF(B397="","-",IF(COUNTIF(E.DETACHED!B:B,B397)+COUNTIF('A.S.PRINTOUT'!B:B,B397)&gt;1,COUNTIF(E.DETACHED!B:B,B397)+COUNTIF('A.S.PRINTOUT'!B:B,B397)-1,"-"))</f>
        <v/>
      </c>
      <c r="C397" s="21" t="n"/>
    </row>
    <row r="398" ht="15.75" customHeight="1" s="102">
      <c r="A398" s="13">
        <f>IF(B398="","-",IF(COUNTIF(E.DETACHED!B:B,B398)+COUNTIF('A.S.PRINTOUT'!B:B,B398)&gt;1,COUNTIF(E.DETACHED!B:B,B398)+COUNTIF('A.S.PRINTOUT'!B:B,B398)-1,"-"))</f>
        <v/>
      </c>
      <c r="C398" s="21" t="n"/>
    </row>
    <row r="399" ht="15.75" customHeight="1" s="102">
      <c r="A399" s="13">
        <f>IF(B399="","-",IF(COUNTIF(E.DETACHED!B:B,B399)+COUNTIF('A.S.PRINTOUT'!B:B,B399)&gt;1,COUNTIF(E.DETACHED!B:B,B399)+COUNTIF('A.S.PRINTOUT'!B:B,B399)-1,"-"))</f>
        <v/>
      </c>
      <c r="C399" s="21" t="n"/>
    </row>
    <row r="400" ht="15.75" customHeight="1" s="102">
      <c r="A400" s="13">
        <f>IF(B400="","-",IF(COUNTIF(E.DETACHED!B:B,B400)+COUNTIF('A.S.PRINTOUT'!B:B,B400)&gt;1,COUNTIF(E.DETACHED!B:B,B400)+COUNTIF('A.S.PRINTOUT'!B:B,B400)-1,"-"))</f>
        <v/>
      </c>
      <c r="C400" s="21" t="n"/>
    </row>
    <row r="401" ht="15.75" customHeight="1" s="102">
      <c r="A401" s="13">
        <f>IF(B401="","-",IF(COUNTIF(E.DETACHED!B:B,B401)+COUNTIF('A.S.PRINTOUT'!B:B,B401)&gt;1,COUNTIF(E.DETACHED!B:B,B401)+COUNTIF('A.S.PRINTOUT'!B:B,B401)-1,"-"))</f>
        <v/>
      </c>
      <c r="C401" s="21" t="n"/>
    </row>
    <row r="402" ht="15.75" customHeight="1" s="102">
      <c r="A402" s="13">
        <f>IF(B402="","-",IF(COUNTIF(E.DETACHED!B:B,B402)+COUNTIF('A.S.PRINTOUT'!B:B,B402)&gt;1,COUNTIF(E.DETACHED!B:B,B402)+COUNTIF('A.S.PRINTOUT'!B:B,B402)-1,"-"))</f>
        <v/>
      </c>
      <c r="C402" s="21" t="n"/>
    </row>
    <row r="403" ht="15.75" customHeight="1" s="102">
      <c r="A403" s="13">
        <f>IF(B403="","-",IF(COUNTIF(E.DETACHED!B:B,B403)+COUNTIF('A.S.PRINTOUT'!B:B,B403)&gt;1,COUNTIF(E.DETACHED!B:B,B403)+COUNTIF('A.S.PRINTOUT'!B:B,B403)-1,"-"))</f>
        <v/>
      </c>
      <c r="C403" s="21" t="n"/>
    </row>
    <row r="404" ht="15.75" customHeight="1" s="102">
      <c r="A404" s="13">
        <f>IF(B404="","-",IF(COUNTIF(E.DETACHED!B:B,B404)+COUNTIF('A.S.PRINTOUT'!B:B,B404)&gt;1,COUNTIF(E.DETACHED!B:B,B404)+COUNTIF('A.S.PRINTOUT'!B:B,B404)-1,"-"))</f>
        <v/>
      </c>
      <c r="C404" s="21" t="n"/>
    </row>
    <row r="405" ht="15.75" customHeight="1" s="102">
      <c r="A405" s="13">
        <f>IF(B405="","-",IF(COUNTIF(E.DETACHED!B:B,B405)+COUNTIF('A.S.PRINTOUT'!B:B,B405)&gt;1,COUNTIF(E.DETACHED!B:B,B405)+COUNTIF('A.S.PRINTOUT'!B:B,B405)-1,"-"))</f>
        <v/>
      </c>
      <c r="C405" s="21" t="n"/>
    </row>
    <row r="406" ht="15.75" customHeight="1" s="102">
      <c r="A406" s="13">
        <f>IF(B406="","-",IF(COUNTIF(E.DETACHED!B:B,B406)+COUNTIF('A.S.PRINTOUT'!B:B,B406)&gt;1,COUNTIF(E.DETACHED!B:B,B406)+COUNTIF('A.S.PRINTOUT'!B:B,B406)-1,"-"))</f>
        <v/>
      </c>
      <c r="C406" s="21" t="n"/>
    </row>
    <row r="407" ht="15.75" customHeight="1" s="102">
      <c r="A407" s="13">
        <f>IF(B407="","-",IF(COUNTIF(E.DETACHED!B:B,B407)+COUNTIF('A.S.PRINTOUT'!B:B,B407)&gt;1,COUNTIF(E.DETACHED!B:B,B407)+COUNTIF('A.S.PRINTOUT'!B:B,B407)-1,"-"))</f>
        <v/>
      </c>
      <c r="C407" s="21" t="n"/>
    </row>
    <row r="408" ht="15.75" customHeight="1" s="102">
      <c r="A408" s="13">
        <f>IF(B408="","-",IF(COUNTIF(E.DETACHED!B:B,B408)+COUNTIF('A.S.PRINTOUT'!B:B,B408)&gt;1,COUNTIF(E.DETACHED!B:B,B408)+COUNTIF('A.S.PRINTOUT'!B:B,B408)-1,"-"))</f>
        <v/>
      </c>
      <c r="C408" s="21" t="n"/>
    </row>
    <row r="409" ht="15.75" customHeight="1" s="102">
      <c r="A409" s="13">
        <f>IF(B409="","-",IF(COUNTIF(E.DETACHED!B:B,B409)+COUNTIF('A.S.PRINTOUT'!B:B,B409)&gt;1,COUNTIF(E.DETACHED!B:B,B409)+COUNTIF('A.S.PRINTOUT'!B:B,B409)-1,"-"))</f>
        <v/>
      </c>
      <c r="C409" s="21" t="n"/>
    </row>
    <row r="410" ht="15.75" customHeight="1" s="102">
      <c r="A410" s="13">
        <f>IF(B410="","-",IF(COUNTIF(E.DETACHED!B:B,B410)+COUNTIF('A.S.PRINTOUT'!B:B,B410)&gt;1,COUNTIF(E.DETACHED!B:B,B410)+COUNTIF('A.S.PRINTOUT'!B:B,B410)-1,"-"))</f>
        <v/>
      </c>
      <c r="C410" s="21" t="n"/>
    </row>
    <row r="411" ht="15.75" customHeight="1" s="102">
      <c r="A411" s="13">
        <f>IF(B411="","-",IF(COUNTIF(E.DETACHED!B:B,B411)+COUNTIF('A.S.PRINTOUT'!B:B,B411)&gt;1,COUNTIF(E.DETACHED!B:B,B411)+COUNTIF('A.S.PRINTOUT'!B:B,B411)-1,"-"))</f>
        <v/>
      </c>
      <c r="C411" s="21" t="n"/>
    </row>
    <row r="412" ht="15.75" customHeight="1" s="102">
      <c r="A412" s="13">
        <f>IF(B412="","-",IF(COUNTIF(E.DETACHED!B:B,B412)+COUNTIF('A.S.PRINTOUT'!B:B,B412)&gt;1,COUNTIF(E.DETACHED!B:B,B412)+COUNTIF('A.S.PRINTOUT'!B:B,B412)-1,"-"))</f>
        <v/>
      </c>
      <c r="C412" s="21" t="n"/>
    </row>
    <row r="413" ht="15.75" customHeight="1" s="102">
      <c r="A413" s="13">
        <f>IF(B413="","-",IF(COUNTIF(E.DETACHED!B:B,B413)+COUNTIF('A.S.PRINTOUT'!B:B,B413)&gt;1,COUNTIF(E.DETACHED!B:B,B413)+COUNTIF('A.S.PRINTOUT'!B:B,B413)-1,"-"))</f>
        <v/>
      </c>
      <c r="C413" s="21" t="n"/>
    </row>
    <row r="414" ht="15.75" customHeight="1" s="102">
      <c r="A414" s="13">
        <f>IF(B414="","-",IF(COUNTIF(E.DETACHED!B:B,B414)+COUNTIF('A.S.PRINTOUT'!B:B,B414)&gt;1,COUNTIF(E.DETACHED!B:B,B414)+COUNTIF('A.S.PRINTOUT'!B:B,B414)-1,"-"))</f>
        <v/>
      </c>
      <c r="C414" s="21" t="n"/>
    </row>
    <row r="415" ht="15.75" customHeight="1" s="102">
      <c r="A415" s="13">
        <f>IF(B415="","-",IF(COUNTIF(E.DETACHED!B:B,B415)+COUNTIF('A.S.PRINTOUT'!B:B,B415)&gt;1,COUNTIF(E.DETACHED!B:B,B415)+COUNTIF('A.S.PRINTOUT'!B:B,B415)-1,"-"))</f>
        <v/>
      </c>
      <c r="C415" s="21" t="n"/>
    </row>
    <row r="416" ht="15.75" customHeight="1" s="102">
      <c r="A416" s="13">
        <f>IF(B416="","-",IF(COUNTIF(E.DETACHED!B:B,B416)+COUNTIF('A.S.PRINTOUT'!B:B,B416)&gt;1,COUNTIF(E.DETACHED!B:B,B416)+COUNTIF('A.S.PRINTOUT'!B:B,B416)-1,"-"))</f>
        <v/>
      </c>
      <c r="C416" s="21" t="n"/>
    </row>
    <row r="417" ht="15.75" customHeight="1" s="102">
      <c r="A417" s="13">
        <f>IF(B417="","-",IF(COUNTIF(E.DETACHED!B:B,B417)+COUNTIF('A.S.PRINTOUT'!B:B,B417)&gt;1,COUNTIF(E.DETACHED!B:B,B417)+COUNTIF('A.S.PRINTOUT'!B:B,B417)-1,"-"))</f>
        <v/>
      </c>
      <c r="C417" s="21" t="n"/>
    </row>
    <row r="418" ht="15.75" customHeight="1" s="102">
      <c r="A418" s="13">
        <f>IF(B418="","-",IF(COUNTIF(E.DETACHED!B:B,B418)+COUNTIF('A.S.PRINTOUT'!B:B,B418)&gt;1,COUNTIF(E.DETACHED!B:B,B418)+COUNTIF('A.S.PRINTOUT'!B:B,B418)-1,"-"))</f>
        <v/>
      </c>
      <c r="C418" s="21" t="n"/>
    </row>
    <row r="419" ht="15.75" customHeight="1" s="102">
      <c r="A419" s="13">
        <f>IF(B419="","-",IF(COUNTIF(E.DETACHED!B:B,B419)+COUNTIF('A.S.PRINTOUT'!B:B,B419)&gt;1,COUNTIF(E.DETACHED!B:B,B419)+COUNTIF('A.S.PRINTOUT'!B:B,B419)-1,"-"))</f>
        <v/>
      </c>
      <c r="C419" s="21" t="n"/>
    </row>
    <row r="420" ht="15.75" customHeight="1" s="102">
      <c r="A420" s="13">
        <f>IF(B420="","-",IF(COUNTIF(E.DETACHED!B:B,B420)+COUNTIF('A.S.PRINTOUT'!B:B,B420)&gt;1,COUNTIF(E.DETACHED!B:B,B420)+COUNTIF('A.S.PRINTOUT'!B:B,B420)-1,"-"))</f>
        <v/>
      </c>
      <c r="C420" s="21" t="n"/>
    </row>
    <row r="421" ht="15.75" customHeight="1" s="102">
      <c r="A421" s="13">
        <f>IF(B421="","-",IF(COUNTIF(E.DETACHED!B:B,B421)+COUNTIF('A.S.PRINTOUT'!B:B,B421)&gt;1,COUNTIF(E.DETACHED!B:B,B421)+COUNTIF('A.S.PRINTOUT'!B:B,B421)-1,"-"))</f>
        <v/>
      </c>
      <c r="C421" s="21" t="n"/>
    </row>
    <row r="422" ht="15.75" customHeight="1" s="102">
      <c r="A422" s="13">
        <f>IF(B422="","-",IF(COUNTIF(E.DETACHED!B:B,B422)+COUNTIF('A.S.PRINTOUT'!B:B,B422)&gt;1,COUNTIF(E.DETACHED!B:B,B422)+COUNTIF('A.S.PRINTOUT'!B:B,B422)-1,"-"))</f>
        <v/>
      </c>
      <c r="C422" s="21" t="n"/>
    </row>
    <row r="423" ht="15.75" customHeight="1" s="102">
      <c r="A423" s="13">
        <f>IF(B423="","-",IF(COUNTIF(E.DETACHED!B:B,B423)+COUNTIF('A.S.PRINTOUT'!B:B,B423)&gt;1,COUNTIF(E.DETACHED!B:B,B423)+COUNTIF('A.S.PRINTOUT'!B:B,B423)-1,"-"))</f>
        <v/>
      </c>
      <c r="C423" s="21" t="n"/>
    </row>
    <row r="424" ht="15.75" customHeight="1" s="102">
      <c r="A424" s="13">
        <f>IF(B424="","-",IF(COUNTIF(E.DETACHED!B:B,B424)+COUNTIF('A.S.PRINTOUT'!B:B,B424)&gt;1,COUNTIF(E.DETACHED!B:B,B424)+COUNTIF('A.S.PRINTOUT'!B:B,B424)-1,"-"))</f>
        <v/>
      </c>
      <c r="C424" s="21" t="n"/>
    </row>
    <row r="425" ht="15.75" customHeight="1" s="102">
      <c r="A425" s="13">
        <f>IF(B425="","-",IF(COUNTIF(E.DETACHED!B:B,B425)+COUNTIF('A.S.PRINTOUT'!B:B,B425)&gt;1,COUNTIF(E.DETACHED!B:B,B425)+COUNTIF('A.S.PRINTOUT'!B:B,B425)-1,"-"))</f>
        <v/>
      </c>
      <c r="C425" s="21" t="n"/>
    </row>
    <row r="426" ht="15.75" customHeight="1" s="102">
      <c r="A426" s="13">
        <f>IF(B426="","-",IF(COUNTIF(E.DETACHED!B:B,B426)+COUNTIF('A.S.PRINTOUT'!B:B,B426)&gt;1,COUNTIF(E.DETACHED!B:B,B426)+COUNTIF('A.S.PRINTOUT'!B:B,B426)-1,"-"))</f>
        <v/>
      </c>
      <c r="C426" s="21" t="n"/>
    </row>
    <row r="427" ht="15.75" customHeight="1" s="102">
      <c r="A427" s="13">
        <f>IF(B427="","-",IF(COUNTIF(E.DETACHED!B:B,B427)+COUNTIF('A.S.PRINTOUT'!B:B,B427)&gt;1,COUNTIF(E.DETACHED!B:B,B427)+COUNTIF('A.S.PRINTOUT'!B:B,B427)-1,"-"))</f>
        <v/>
      </c>
      <c r="C427" s="21" t="n"/>
    </row>
    <row r="428" ht="15.75" customHeight="1" s="102">
      <c r="A428" s="13">
        <f>IF(B428="","-",IF(COUNTIF(E.DETACHED!B:B,B428)+COUNTIF('A.S.PRINTOUT'!B:B,B428)&gt;1,COUNTIF(E.DETACHED!B:B,B428)+COUNTIF('A.S.PRINTOUT'!B:B,B428)-1,"-"))</f>
        <v/>
      </c>
      <c r="C428" s="21" t="n"/>
    </row>
    <row r="429" ht="15.75" customHeight="1" s="102">
      <c r="A429" s="13">
        <f>IF(B429="","-",IF(COUNTIF(E.DETACHED!B:B,B429)+COUNTIF('A.S.PRINTOUT'!B:B,B429)&gt;1,COUNTIF(E.DETACHED!B:B,B429)+COUNTIF('A.S.PRINTOUT'!B:B,B429)-1,"-"))</f>
        <v/>
      </c>
      <c r="C429" s="21" t="n"/>
    </row>
    <row r="430" ht="15.75" customHeight="1" s="102">
      <c r="A430" s="13">
        <f>IF(B430="","-",IF(COUNTIF(E.DETACHED!B:B,B430)+COUNTIF('A.S.PRINTOUT'!B:B,B430)&gt;1,COUNTIF(E.DETACHED!B:B,B430)+COUNTIF('A.S.PRINTOUT'!B:B,B430)-1,"-"))</f>
        <v/>
      </c>
      <c r="C430" s="21" t="n"/>
    </row>
    <row r="431" ht="15.75" customHeight="1" s="102">
      <c r="A431" s="13">
        <f>IF(B431="","-",IF(COUNTIF(E.DETACHED!B:B,B431)+COUNTIF('A.S.PRINTOUT'!B:B,B431)&gt;1,COUNTIF(E.DETACHED!B:B,B431)+COUNTIF('A.S.PRINTOUT'!B:B,B431)-1,"-"))</f>
        <v/>
      </c>
      <c r="C431" s="21" t="n"/>
    </row>
    <row r="432" ht="15.75" customHeight="1" s="102">
      <c r="A432" s="13">
        <f>IF(B432="","-",IF(COUNTIF(E.DETACHED!B:B,B432)+COUNTIF('A.S.PRINTOUT'!B:B,B432)&gt;1,COUNTIF(E.DETACHED!B:B,B432)+COUNTIF('A.S.PRINTOUT'!B:B,B432)-1,"-"))</f>
        <v/>
      </c>
      <c r="C432" s="21" t="n"/>
    </row>
    <row r="433" ht="15.75" customHeight="1" s="102">
      <c r="A433" s="13">
        <f>IF(B433="","-",IF(COUNTIF(E.DETACHED!B:B,B433)+COUNTIF('A.S.PRINTOUT'!B:B,B433)&gt;1,COUNTIF(E.DETACHED!B:B,B433)+COUNTIF('A.S.PRINTOUT'!B:B,B433)-1,"-"))</f>
        <v/>
      </c>
      <c r="C433" s="21" t="n"/>
    </row>
    <row r="434" ht="15.75" customHeight="1" s="102">
      <c r="A434" s="13">
        <f>IF(B434="","-",IF(COUNTIF(E.DETACHED!B:B,B434)+COUNTIF('A.S.PRINTOUT'!B:B,B434)&gt;1,COUNTIF(E.DETACHED!B:B,B434)+COUNTIF('A.S.PRINTOUT'!B:B,B434)-1,"-"))</f>
        <v/>
      </c>
      <c r="C434" s="21" t="n"/>
    </row>
    <row r="435" ht="15.75" customHeight="1" s="102">
      <c r="A435" s="13">
        <f>IF(B435="","-",IF(COUNTIF(E.DETACHED!B:B,B435)+COUNTIF('A.S.PRINTOUT'!B:B,B435)&gt;1,COUNTIF(E.DETACHED!B:B,B435)+COUNTIF('A.S.PRINTOUT'!B:B,B435)-1,"-"))</f>
        <v/>
      </c>
      <c r="C435" s="21" t="n"/>
    </row>
    <row r="436" ht="15.75" customHeight="1" s="102">
      <c r="A436" s="13">
        <f>IF(B436="","-",IF(COUNTIF(E.DETACHED!B:B,B436)+COUNTIF('A.S.PRINTOUT'!B:B,B436)&gt;1,COUNTIF(E.DETACHED!B:B,B436)+COUNTIF('A.S.PRINTOUT'!B:B,B436)-1,"-"))</f>
        <v/>
      </c>
      <c r="C436" s="21" t="n"/>
    </row>
    <row r="437" ht="15.75" customHeight="1" s="102">
      <c r="A437" s="13">
        <f>IF(B437="","-",IF(COUNTIF(E.DETACHED!B:B,B437)+COUNTIF('A.S.PRINTOUT'!B:B,B437)&gt;1,COUNTIF(E.DETACHED!B:B,B437)+COUNTIF('A.S.PRINTOUT'!B:B,B437)-1,"-"))</f>
        <v/>
      </c>
      <c r="C437" s="21" t="n"/>
    </row>
    <row r="438" ht="15.75" customHeight="1" s="102">
      <c r="A438" s="13">
        <f>IF(B438="","-",IF(COUNTIF(E.DETACHED!B:B,B438)+COUNTIF('A.S.PRINTOUT'!B:B,B438)&gt;1,COUNTIF(E.DETACHED!B:B,B438)+COUNTIF('A.S.PRINTOUT'!B:B,B438)-1,"-"))</f>
        <v/>
      </c>
      <c r="C438" s="21" t="n"/>
    </row>
    <row r="439" ht="15.75" customHeight="1" s="102">
      <c r="A439" s="13">
        <f>IF(B439="","-",IF(COUNTIF(E.DETACHED!B:B,B439)+COUNTIF('A.S.PRINTOUT'!B:B,B439)&gt;1,COUNTIF(E.DETACHED!B:B,B439)+COUNTIF('A.S.PRINTOUT'!B:B,B439)-1,"-"))</f>
        <v/>
      </c>
      <c r="C439" s="21" t="n"/>
    </row>
    <row r="440" ht="15.75" customHeight="1" s="102">
      <c r="A440" s="13">
        <f>IF(B440="","-",IF(COUNTIF(E.DETACHED!B:B,B440)+COUNTIF('A.S.PRINTOUT'!B:B,B440)&gt;1,COUNTIF(E.DETACHED!B:B,B440)+COUNTIF('A.S.PRINTOUT'!B:B,B440)-1,"-"))</f>
        <v/>
      </c>
      <c r="C440" s="21" t="n"/>
    </row>
    <row r="441" ht="15.75" customHeight="1" s="102">
      <c r="A441" s="13">
        <f>IF(B441="","-",IF(COUNTIF(E.DETACHED!B:B,B441)+COUNTIF('A.S.PRINTOUT'!B:B,B441)&gt;1,COUNTIF(E.DETACHED!B:B,B441)+COUNTIF('A.S.PRINTOUT'!B:B,B441)-1,"-"))</f>
        <v/>
      </c>
      <c r="C441" s="21" t="n"/>
    </row>
    <row r="442" ht="15.75" customHeight="1" s="102">
      <c r="A442" s="13">
        <f>IF(B442="","-",IF(COUNTIF(E.DETACHED!B:B,B442)+COUNTIF('A.S.PRINTOUT'!B:B,B442)&gt;1,COUNTIF(E.DETACHED!B:B,B442)+COUNTIF('A.S.PRINTOUT'!B:B,B442)-1,"-"))</f>
        <v/>
      </c>
      <c r="C442" s="21" t="n"/>
    </row>
    <row r="443" ht="15.75" customHeight="1" s="102">
      <c r="A443" s="13">
        <f>IF(B443="","-",IF(COUNTIF(E.DETACHED!B:B,B443)+COUNTIF('A.S.PRINTOUT'!B:B,B443)&gt;1,COUNTIF(E.DETACHED!B:B,B443)+COUNTIF('A.S.PRINTOUT'!B:B,B443)-1,"-"))</f>
        <v/>
      </c>
      <c r="C443" s="21" t="n"/>
    </row>
    <row r="444" ht="15.75" customHeight="1" s="102">
      <c r="A444" s="13">
        <f>IF(B444="","-",IF(COUNTIF(E.DETACHED!B:B,B444)+COUNTIF('A.S.PRINTOUT'!B:B,B444)&gt;1,COUNTIF(E.DETACHED!B:B,B444)+COUNTIF('A.S.PRINTOUT'!B:B,B444)-1,"-"))</f>
        <v/>
      </c>
      <c r="C444" s="21" t="n"/>
    </row>
    <row r="445" ht="15.75" customHeight="1" s="102">
      <c r="A445" s="13">
        <f>IF(B445="","-",IF(COUNTIF(E.DETACHED!B:B,B445)+COUNTIF('A.S.PRINTOUT'!B:B,B445)&gt;1,COUNTIF(E.DETACHED!B:B,B445)+COUNTIF('A.S.PRINTOUT'!B:B,B445)-1,"-"))</f>
        <v/>
      </c>
      <c r="C445" s="21" t="n"/>
    </row>
    <row r="446" ht="15.75" customHeight="1" s="102">
      <c r="A446" s="13">
        <f>IF(B446="","-",IF(COUNTIF(E.DETACHED!B:B,B446)+COUNTIF('A.S.PRINTOUT'!B:B,B446)&gt;1,COUNTIF(E.DETACHED!B:B,B446)+COUNTIF('A.S.PRINTOUT'!B:B,B446)-1,"-"))</f>
        <v/>
      </c>
      <c r="C446" s="21" t="n"/>
    </row>
    <row r="447" ht="15.75" customHeight="1" s="102">
      <c r="A447" s="13">
        <f>IF(B447="","-",IF(COUNTIF(E.DETACHED!B:B,B447)+COUNTIF('A.S.PRINTOUT'!B:B,B447)&gt;1,COUNTIF(E.DETACHED!B:B,B447)+COUNTIF('A.S.PRINTOUT'!B:B,B447)-1,"-"))</f>
        <v/>
      </c>
      <c r="C447" s="21" t="n"/>
    </row>
    <row r="448" ht="15.75" customHeight="1" s="102">
      <c r="A448" s="13">
        <f>IF(B448="","-",IF(COUNTIF(E.DETACHED!B:B,B448)+COUNTIF('A.S.PRINTOUT'!B:B,B448)&gt;1,COUNTIF(E.DETACHED!B:B,B448)+COUNTIF('A.S.PRINTOUT'!B:B,B448)-1,"-"))</f>
        <v/>
      </c>
      <c r="C448" s="21" t="n"/>
    </row>
    <row r="449" ht="15.75" customHeight="1" s="102">
      <c r="A449" s="13">
        <f>IF(B449="","-",IF(COUNTIF(E.DETACHED!B:B,B449)+COUNTIF('A.S.PRINTOUT'!B:B,B449)&gt;1,COUNTIF(E.DETACHED!B:B,B449)+COUNTIF('A.S.PRINTOUT'!B:B,B449)-1,"-"))</f>
        <v/>
      </c>
      <c r="C449" s="21" t="n"/>
    </row>
    <row r="450" ht="15.75" customHeight="1" s="102">
      <c r="A450" s="13">
        <f>IF(B450="","-",IF(COUNTIF(E.DETACHED!B:B,B450)+COUNTIF('A.S.PRINTOUT'!B:B,B450)&gt;1,COUNTIF(E.DETACHED!B:B,B450)+COUNTIF('A.S.PRINTOUT'!B:B,B450)-1,"-"))</f>
        <v/>
      </c>
      <c r="C450" s="21" t="n"/>
    </row>
    <row r="451" ht="15.75" customHeight="1" s="102">
      <c r="A451" s="13">
        <f>IF(B451="","-",IF(COUNTIF(E.DETACHED!B:B,B451)+COUNTIF('A.S.PRINTOUT'!B:B,B451)&gt;1,COUNTIF(E.DETACHED!B:B,B451)+COUNTIF('A.S.PRINTOUT'!B:B,B451)-1,"-"))</f>
        <v/>
      </c>
      <c r="C451" s="21" t="n"/>
    </row>
    <row r="452" ht="15.75" customHeight="1" s="102">
      <c r="A452" s="13">
        <f>IF(B452="","-",IF(COUNTIF(E.DETACHED!B:B,B452)+COUNTIF('A.S.PRINTOUT'!B:B,B452)&gt;1,COUNTIF(E.DETACHED!B:B,B452)+COUNTIF('A.S.PRINTOUT'!B:B,B452)-1,"-"))</f>
        <v/>
      </c>
      <c r="C452" s="21" t="n"/>
    </row>
    <row r="453" ht="15.75" customHeight="1" s="102">
      <c r="A453" s="13">
        <f>IF(B453="","-",IF(COUNTIF(E.DETACHED!B:B,B453)+COUNTIF('A.S.PRINTOUT'!B:B,B453)&gt;1,COUNTIF(E.DETACHED!B:B,B453)+COUNTIF('A.S.PRINTOUT'!B:B,B453)-1,"-"))</f>
        <v/>
      </c>
      <c r="C453" s="21" t="n"/>
    </row>
    <row r="454" ht="15.75" customHeight="1" s="102">
      <c r="A454" s="13">
        <f>IF(B454="","-",IF(COUNTIF(E.DETACHED!B:B,B454)+COUNTIF('A.S.PRINTOUT'!B:B,B454)&gt;1,COUNTIF(E.DETACHED!B:B,B454)+COUNTIF('A.S.PRINTOUT'!B:B,B454)-1,"-"))</f>
        <v/>
      </c>
      <c r="C454" s="21" t="n"/>
    </row>
    <row r="455" ht="15.75" customHeight="1" s="102">
      <c r="A455" s="13">
        <f>IF(B455="","-",IF(COUNTIF(E.DETACHED!B:B,B455)+COUNTIF('A.S.PRINTOUT'!B:B,B455)&gt;1,COUNTIF(E.DETACHED!B:B,B455)+COUNTIF('A.S.PRINTOUT'!B:B,B455)-1,"-"))</f>
        <v/>
      </c>
      <c r="C455" s="21" t="n"/>
    </row>
    <row r="456" ht="15.75" customHeight="1" s="102">
      <c r="A456" s="13">
        <f>IF(B456="","-",IF(COUNTIF(E.DETACHED!B:B,B456)+COUNTIF('A.S.PRINTOUT'!B:B,B456)&gt;1,COUNTIF(E.DETACHED!B:B,B456)+COUNTIF('A.S.PRINTOUT'!B:B,B456)-1,"-"))</f>
        <v/>
      </c>
      <c r="C456" s="21" t="n"/>
    </row>
    <row r="457" ht="15.75" customHeight="1" s="102">
      <c r="A457" s="13">
        <f>IF(B457="","-",IF(COUNTIF(E.DETACHED!B:B,B457)+COUNTIF('A.S.PRINTOUT'!B:B,B457)&gt;1,COUNTIF(E.DETACHED!B:B,B457)+COUNTIF('A.S.PRINTOUT'!B:B,B457)-1,"-"))</f>
        <v/>
      </c>
      <c r="C457" s="21" t="n"/>
    </row>
    <row r="458" ht="15.75" customHeight="1" s="102">
      <c r="A458" s="13">
        <f>IF(B458="","-",IF(COUNTIF(E.DETACHED!B:B,B458)+COUNTIF('A.S.PRINTOUT'!B:B,B458)&gt;1,COUNTIF(E.DETACHED!B:B,B458)+COUNTIF('A.S.PRINTOUT'!B:B,B458)-1,"-"))</f>
        <v/>
      </c>
      <c r="C458" s="21" t="n"/>
    </row>
    <row r="459" ht="15.75" customHeight="1" s="102">
      <c r="A459" s="13">
        <f>IF(B459="","-",IF(COUNTIF(E.DETACHED!B:B,B459)+COUNTIF('A.S.PRINTOUT'!B:B,B459)&gt;1,COUNTIF(E.DETACHED!B:B,B459)+COUNTIF('A.S.PRINTOUT'!B:B,B459)-1,"-"))</f>
        <v/>
      </c>
      <c r="C459" s="21" t="n"/>
    </row>
    <row r="460" ht="15.75" customHeight="1" s="102">
      <c r="A460" s="13">
        <f>IF(B460="","-",IF(COUNTIF(E.DETACHED!B:B,B460)+COUNTIF('A.S.PRINTOUT'!B:B,B460)&gt;1,COUNTIF(E.DETACHED!B:B,B460)+COUNTIF('A.S.PRINTOUT'!B:B,B460)-1,"-"))</f>
        <v/>
      </c>
      <c r="C460" s="21" t="n"/>
    </row>
    <row r="461" ht="15.75" customHeight="1" s="102">
      <c r="A461" s="13">
        <f>IF(B461="","-",IF(COUNTIF(E.DETACHED!B:B,B461)+COUNTIF('A.S.PRINTOUT'!B:B,B461)&gt;1,COUNTIF(E.DETACHED!B:B,B461)+COUNTIF('A.S.PRINTOUT'!B:B,B461)-1,"-"))</f>
        <v/>
      </c>
      <c r="C461" s="21" t="n"/>
    </row>
    <row r="462" ht="15.75" customHeight="1" s="102">
      <c r="A462" s="13">
        <f>IF(B462="","-",IF(COUNTIF(E.DETACHED!B:B,B462)+COUNTIF('A.S.PRINTOUT'!B:B,B462)&gt;1,COUNTIF(E.DETACHED!B:B,B462)+COUNTIF('A.S.PRINTOUT'!B:B,B462)-1,"-"))</f>
        <v/>
      </c>
      <c r="C462" s="21" t="n"/>
    </row>
    <row r="463" ht="15.75" customHeight="1" s="102">
      <c r="A463" s="13">
        <f>IF(B463="","-",IF(COUNTIF(E.DETACHED!B:B,B463)+COUNTIF('A.S.PRINTOUT'!B:B,B463)&gt;1,COUNTIF(E.DETACHED!B:B,B463)+COUNTIF('A.S.PRINTOUT'!B:B,B463)-1,"-"))</f>
        <v/>
      </c>
      <c r="C463" s="21" t="n"/>
    </row>
    <row r="464" ht="15.75" customHeight="1" s="102">
      <c r="A464" s="13">
        <f>IF(B464="","-",IF(COUNTIF(E.DETACHED!B:B,B464)+COUNTIF('A.S.PRINTOUT'!B:B,B464)&gt;1,COUNTIF(E.DETACHED!B:B,B464)+COUNTIF('A.S.PRINTOUT'!B:B,B464)-1,"-"))</f>
        <v/>
      </c>
      <c r="C464" s="21" t="n"/>
    </row>
    <row r="465" ht="15.75" customHeight="1" s="102">
      <c r="A465" s="13">
        <f>IF(B465="","-",IF(COUNTIF(E.DETACHED!B:B,B465)+COUNTIF('A.S.PRINTOUT'!B:B,B465)&gt;1,COUNTIF(E.DETACHED!B:B,B465)+COUNTIF('A.S.PRINTOUT'!B:B,B465)-1,"-"))</f>
        <v/>
      </c>
      <c r="C465" s="21" t="n"/>
    </row>
    <row r="466" ht="15.75" customHeight="1" s="102">
      <c r="A466" s="13">
        <f>IF(B466="","-",IF(COUNTIF(E.DETACHED!B:B,B466)+COUNTIF('A.S.PRINTOUT'!B:B,B466)&gt;1,COUNTIF(E.DETACHED!B:B,B466)+COUNTIF('A.S.PRINTOUT'!B:B,B466)-1,"-"))</f>
        <v/>
      </c>
      <c r="C466" s="21" t="n"/>
    </row>
    <row r="467" ht="15.75" customHeight="1" s="102">
      <c r="A467" s="13">
        <f>IF(B467="","-",IF(COUNTIF(E.DETACHED!B:B,B467)+COUNTIF('A.S.PRINTOUT'!B:B,B467)&gt;1,COUNTIF(E.DETACHED!B:B,B467)+COUNTIF('A.S.PRINTOUT'!B:B,B467)-1,"-"))</f>
        <v/>
      </c>
      <c r="C467" s="21" t="n"/>
    </row>
    <row r="468" ht="15.75" customHeight="1" s="102">
      <c r="A468" s="13">
        <f>IF(B468="","-",IF(COUNTIF(E.DETACHED!B:B,B468)+COUNTIF('A.S.PRINTOUT'!B:B,B468)&gt;1,COUNTIF(E.DETACHED!B:B,B468)+COUNTIF('A.S.PRINTOUT'!B:B,B468)-1,"-"))</f>
        <v/>
      </c>
      <c r="C468" s="21" t="n"/>
    </row>
    <row r="469" ht="15.75" customHeight="1" s="102">
      <c r="A469" s="13">
        <f>IF(B469="","-",IF(COUNTIF(E.DETACHED!B:B,B469)+COUNTIF('A.S.PRINTOUT'!B:B,B469)&gt;1,COUNTIF(E.DETACHED!B:B,B469)+COUNTIF('A.S.PRINTOUT'!B:B,B469)-1,"-"))</f>
        <v/>
      </c>
      <c r="C469" s="21" t="n"/>
    </row>
    <row r="470" ht="15.75" customHeight="1" s="102">
      <c r="A470" s="13">
        <f>IF(B470="","-",IF(COUNTIF(E.DETACHED!B:B,B470)+COUNTIF('A.S.PRINTOUT'!B:B,B470)&gt;1,COUNTIF(E.DETACHED!B:B,B470)+COUNTIF('A.S.PRINTOUT'!B:B,B470)-1,"-"))</f>
        <v/>
      </c>
      <c r="C470" s="21" t="n"/>
    </row>
    <row r="471" ht="15.75" customHeight="1" s="102">
      <c r="A471" s="13">
        <f>IF(B471="","-",IF(COUNTIF(E.DETACHED!B:B,B471)+COUNTIF('A.S.PRINTOUT'!B:B,B471)&gt;1,COUNTIF(E.DETACHED!B:B,B471)+COUNTIF('A.S.PRINTOUT'!B:B,B471)-1,"-"))</f>
        <v/>
      </c>
      <c r="C471" s="21" t="n"/>
    </row>
    <row r="472" ht="15.75" customHeight="1" s="102">
      <c r="A472" s="13">
        <f>IF(B472="","-",IF(COUNTIF(E.DETACHED!B:B,B472)+COUNTIF('A.S.PRINTOUT'!B:B,B472)&gt;1,COUNTIF(E.DETACHED!B:B,B472)+COUNTIF('A.S.PRINTOUT'!B:B,B472)-1,"-"))</f>
        <v/>
      </c>
      <c r="C472" s="21" t="n"/>
    </row>
    <row r="473" ht="15.75" customHeight="1" s="102">
      <c r="A473" s="13">
        <f>IF(B473="","-",IF(COUNTIF(E.DETACHED!B:B,B473)+COUNTIF('A.S.PRINTOUT'!B:B,B473)&gt;1,COUNTIF(E.DETACHED!B:B,B473)+COUNTIF('A.S.PRINTOUT'!B:B,B473)-1,"-"))</f>
        <v/>
      </c>
      <c r="C473" s="21" t="n"/>
    </row>
    <row r="474" ht="15.75" customHeight="1" s="102">
      <c r="A474" s="13">
        <f>IF(B474="","-",IF(COUNTIF(E.DETACHED!B:B,B474)+COUNTIF('A.S.PRINTOUT'!B:B,B474)&gt;1,COUNTIF(E.DETACHED!B:B,B474)+COUNTIF('A.S.PRINTOUT'!B:B,B474)-1,"-"))</f>
        <v/>
      </c>
      <c r="C474" s="21" t="n"/>
    </row>
    <row r="475" ht="15.75" customHeight="1" s="102">
      <c r="A475" s="13">
        <f>IF(B475="","-",IF(COUNTIF(E.DETACHED!B:B,B475)+COUNTIF('A.S.PRINTOUT'!B:B,B475)&gt;1,COUNTIF(E.DETACHED!B:B,B475)+COUNTIF('A.S.PRINTOUT'!B:B,B475)-1,"-"))</f>
        <v/>
      </c>
      <c r="C475" s="21" t="n"/>
    </row>
    <row r="476" ht="15.75" customHeight="1" s="102">
      <c r="A476" s="13">
        <f>IF(B476="","-",IF(COUNTIF(E.DETACHED!B:B,B476)+COUNTIF('A.S.PRINTOUT'!B:B,B476)&gt;1,COUNTIF(E.DETACHED!B:B,B476)+COUNTIF('A.S.PRINTOUT'!B:B,B476)-1,"-"))</f>
        <v/>
      </c>
      <c r="C476" s="21" t="n"/>
    </row>
    <row r="477" ht="15.75" customHeight="1" s="102">
      <c r="A477" s="13">
        <f>IF(B477="","-",IF(COUNTIF(E.DETACHED!B:B,B477)+COUNTIF('A.S.PRINTOUT'!B:B,B477)&gt;1,COUNTIF(E.DETACHED!B:B,B477)+COUNTIF('A.S.PRINTOUT'!B:B,B477)-1,"-"))</f>
        <v/>
      </c>
      <c r="C477" s="21" t="n"/>
    </row>
    <row r="478" ht="15.75" customHeight="1" s="102">
      <c r="A478" s="13">
        <f>IF(B478="","-",IF(COUNTIF(E.DETACHED!B:B,B478)+COUNTIF('A.S.PRINTOUT'!B:B,B478)&gt;1,COUNTIF(E.DETACHED!B:B,B478)+COUNTIF('A.S.PRINTOUT'!B:B,B478)-1,"-"))</f>
        <v/>
      </c>
      <c r="C478" s="21" t="n"/>
    </row>
    <row r="479" ht="15.75" customHeight="1" s="102">
      <c r="A479" s="13">
        <f>IF(B479="","-",IF(COUNTIF(E.DETACHED!B:B,B479)+COUNTIF('A.S.PRINTOUT'!B:B,B479)&gt;1,COUNTIF(E.DETACHED!B:B,B479)+COUNTIF('A.S.PRINTOUT'!B:B,B479)-1,"-"))</f>
        <v/>
      </c>
      <c r="C479" s="21" t="n"/>
    </row>
    <row r="480" ht="15.75" customHeight="1" s="102">
      <c r="A480" s="13">
        <f>IF(B480="","-",IF(COUNTIF(E.DETACHED!B:B,B480)+COUNTIF('A.S.PRINTOUT'!B:B,B480)&gt;1,COUNTIF(E.DETACHED!B:B,B480)+COUNTIF('A.S.PRINTOUT'!B:B,B480)-1,"-"))</f>
        <v/>
      </c>
      <c r="C480" s="21" t="n"/>
    </row>
    <row r="481" ht="15.75" customHeight="1" s="102">
      <c r="A481" s="13">
        <f>IF(B481="","-",IF(COUNTIF(E.DETACHED!B:B,B481)+COUNTIF('A.S.PRINTOUT'!B:B,B481)&gt;1,COUNTIF(E.DETACHED!B:B,B481)+COUNTIF('A.S.PRINTOUT'!B:B,B481)-1,"-"))</f>
        <v/>
      </c>
      <c r="C481" s="21" t="n"/>
    </row>
    <row r="482" ht="15.75" customHeight="1" s="102">
      <c r="A482" s="13">
        <f>IF(B482="","-",IF(COUNTIF(E.DETACHED!B:B,B482)+COUNTIF('A.S.PRINTOUT'!B:B,B482)&gt;1,COUNTIF(E.DETACHED!B:B,B482)+COUNTIF('A.S.PRINTOUT'!B:B,B482)-1,"-"))</f>
        <v/>
      </c>
      <c r="C482" s="21" t="n"/>
    </row>
    <row r="483" ht="15.75" customHeight="1" s="102">
      <c r="A483" s="13">
        <f>IF(B483="","-",IF(COUNTIF(E.DETACHED!B:B,B483)+COUNTIF('A.S.PRINTOUT'!B:B,B483)&gt;1,COUNTIF(E.DETACHED!B:B,B483)+COUNTIF('A.S.PRINTOUT'!B:B,B483)-1,"-"))</f>
        <v/>
      </c>
      <c r="C483" s="21" t="n"/>
    </row>
    <row r="484" ht="15.75" customHeight="1" s="102">
      <c r="A484" s="13">
        <f>IF(B484="","-",IF(COUNTIF(E.DETACHED!B:B,B484)+COUNTIF('A.S.PRINTOUT'!B:B,B484)&gt;1,COUNTIF(E.DETACHED!B:B,B484)+COUNTIF('A.S.PRINTOUT'!B:B,B484)-1,"-"))</f>
        <v/>
      </c>
      <c r="C484" s="21" t="n"/>
    </row>
    <row r="485" ht="15.75" customHeight="1" s="102">
      <c r="A485" s="13">
        <f>IF(B485="","-",IF(COUNTIF(E.DETACHED!B:B,B485)+COUNTIF('A.S.PRINTOUT'!B:B,B485)&gt;1,COUNTIF(E.DETACHED!B:B,B485)+COUNTIF('A.S.PRINTOUT'!B:B,B485)-1,"-"))</f>
        <v/>
      </c>
      <c r="C485" s="21" t="n"/>
    </row>
    <row r="486" ht="15.75" customHeight="1" s="102">
      <c r="A486" s="13">
        <f>IF(B486="","-",IF(COUNTIF(E.DETACHED!B:B,B486)+COUNTIF('A.S.PRINTOUT'!B:B,B486)&gt;1,COUNTIF(E.DETACHED!B:B,B486)+COUNTIF('A.S.PRINTOUT'!B:B,B486)-1,"-"))</f>
        <v/>
      </c>
      <c r="C486" s="21" t="n"/>
    </row>
    <row r="487" ht="15.75" customHeight="1" s="102">
      <c r="A487" s="13">
        <f>IF(B487="","-",IF(COUNTIF(E.DETACHED!B:B,B487)+COUNTIF('A.S.PRINTOUT'!B:B,B487)&gt;1,COUNTIF(E.DETACHED!B:B,B487)+COUNTIF('A.S.PRINTOUT'!B:B,B487)-1,"-"))</f>
        <v/>
      </c>
      <c r="C487" s="21" t="n"/>
    </row>
    <row r="488" ht="15.75" customHeight="1" s="102">
      <c r="A488" s="13">
        <f>IF(B488="","-",IF(COUNTIF(E.DETACHED!B:B,B488)+COUNTIF('A.S.PRINTOUT'!B:B,B488)&gt;1,COUNTIF(E.DETACHED!B:B,B488)+COUNTIF('A.S.PRINTOUT'!B:B,B488)-1,"-"))</f>
        <v/>
      </c>
      <c r="C488" s="21" t="n"/>
    </row>
    <row r="489" ht="15.75" customHeight="1" s="102">
      <c r="A489" s="13">
        <f>IF(B489="","-",IF(COUNTIF(E.DETACHED!B:B,B489)+COUNTIF('A.S.PRINTOUT'!B:B,B489)&gt;1,COUNTIF(E.DETACHED!B:B,B489)+COUNTIF('A.S.PRINTOUT'!B:B,B489)-1,"-"))</f>
        <v/>
      </c>
      <c r="C489" s="21" t="n"/>
    </row>
    <row r="490" ht="15.75" customHeight="1" s="102">
      <c r="A490" s="13">
        <f>IF(B490="","-",IF(COUNTIF(E.DETACHED!B:B,B490)+COUNTIF('A.S.PRINTOUT'!B:B,B490)&gt;1,COUNTIF(E.DETACHED!B:B,B490)+COUNTIF('A.S.PRINTOUT'!B:B,B490)-1,"-"))</f>
        <v/>
      </c>
      <c r="C490" s="21" t="n"/>
    </row>
    <row r="491" ht="15.75" customHeight="1" s="102">
      <c r="A491" s="13">
        <f>IF(B491="","-",IF(COUNTIF(E.DETACHED!B:B,B491)+COUNTIF('A.S.PRINTOUT'!B:B,B491)&gt;1,COUNTIF(E.DETACHED!B:B,B491)+COUNTIF('A.S.PRINTOUT'!B:B,B491)-1,"-"))</f>
        <v/>
      </c>
      <c r="C491" s="21" t="n"/>
    </row>
    <row r="492" ht="15.75" customHeight="1" s="102">
      <c r="A492" s="13">
        <f>IF(B492="","-",IF(COUNTIF(E.DETACHED!B:B,B492)+COUNTIF('A.S.PRINTOUT'!B:B,B492)&gt;1,COUNTIF(E.DETACHED!B:B,B492)+COUNTIF('A.S.PRINTOUT'!B:B,B492)-1,"-"))</f>
        <v/>
      </c>
      <c r="C492" s="21" t="n"/>
    </row>
    <row r="493" ht="15.75" customHeight="1" s="102">
      <c r="A493" s="13">
        <f>IF(B493="","-",IF(COUNTIF(E.DETACHED!B:B,B493)+COUNTIF('A.S.PRINTOUT'!B:B,B493)&gt;1,COUNTIF(E.DETACHED!B:B,B493)+COUNTIF('A.S.PRINTOUT'!B:B,B493)-1,"-"))</f>
        <v/>
      </c>
      <c r="C493" s="21" t="n"/>
    </row>
    <row r="494" ht="15.75" customHeight="1" s="102">
      <c r="A494" s="13">
        <f>IF(B494="","-",IF(COUNTIF(E.DETACHED!B:B,B494)+COUNTIF('A.S.PRINTOUT'!B:B,B494)&gt;1,COUNTIF(E.DETACHED!B:B,B494)+COUNTIF('A.S.PRINTOUT'!B:B,B494)-1,"-"))</f>
        <v/>
      </c>
      <c r="C494" s="21" t="n"/>
    </row>
    <row r="495" ht="15.75" customHeight="1" s="102">
      <c r="A495" s="13">
        <f>IF(B495="","-",IF(COUNTIF(E.DETACHED!B:B,B495)+COUNTIF('A.S.PRINTOUT'!B:B,B495)&gt;1,COUNTIF(E.DETACHED!B:B,B495)+COUNTIF('A.S.PRINTOUT'!B:B,B495)-1,"-"))</f>
        <v/>
      </c>
      <c r="C495" s="21" t="n"/>
    </row>
    <row r="496" ht="15.75" customHeight="1" s="102">
      <c r="A496" s="13">
        <f>IF(B496="","-",IF(COUNTIF(E.DETACHED!B:B,B496)+COUNTIF('A.S.PRINTOUT'!B:B,B496)&gt;1,COUNTIF(E.DETACHED!B:B,B496)+COUNTIF('A.S.PRINTOUT'!B:B,B496)-1,"-"))</f>
        <v/>
      </c>
      <c r="C496" s="21" t="n"/>
    </row>
    <row r="497" ht="15.75" customHeight="1" s="102">
      <c r="A497" s="13">
        <f>IF(B497="","-",IF(COUNTIF(E.DETACHED!B:B,B497)+COUNTIF('A.S.PRINTOUT'!B:B,B497)&gt;1,COUNTIF(E.DETACHED!B:B,B497)+COUNTIF('A.S.PRINTOUT'!B:B,B497)-1,"-"))</f>
        <v/>
      </c>
      <c r="C497" s="21" t="n"/>
    </row>
    <row r="498" ht="15.75" customHeight="1" s="102">
      <c r="A498" s="13">
        <f>IF(B498="","-",IF(COUNTIF(E.DETACHED!B:B,B498)+COUNTIF('A.S.PRINTOUT'!B:B,B498)&gt;1,COUNTIF(E.DETACHED!B:B,B498)+COUNTIF('A.S.PRINTOUT'!B:B,B498)-1,"-"))</f>
        <v/>
      </c>
      <c r="C498" s="21" t="n"/>
    </row>
    <row r="499" ht="15.75" customHeight="1" s="102">
      <c r="A499" s="13">
        <f>IF(B499="","-",IF(COUNTIF(E.DETACHED!B:B,B499)+COUNTIF('A.S.PRINTOUT'!B:B,B499)&gt;1,COUNTIF(E.DETACHED!B:B,B499)+COUNTIF('A.S.PRINTOUT'!B:B,B499)-1,"-"))</f>
        <v/>
      </c>
      <c r="C499" s="21" t="n"/>
    </row>
    <row r="500" ht="15.75" customHeight="1" s="102">
      <c r="A500" s="13">
        <f>IF(B500="","-",IF(COUNTIF(E.DETACHED!B:B,B500)+COUNTIF('A.S.PRINTOUT'!B:B,B500)&gt;1,COUNTIF(E.DETACHED!B:B,B500)+COUNTIF('A.S.PRINTOUT'!B:B,B500)-1,"-"))</f>
        <v/>
      </c>
      <c r="C500" s="21" t="n"/>
    </row>
    <row r="501" ht="15.75" customHeight="1" s="102">
      <c r="A501" s="13">
        <f>IF(B501="","-",IF(COUNTIF(E.DETACHED!B:B,B501)+COUNTIF('A.S.PRINTOUT'!B:B,B501)&gt;1,COUNTIF(E.DETACHED!B:B,B501)+COUNTIF('A.S.PRINTOUT'!B:B,B501)-1,"-"))</f>
        <v/>
      </c>
      <c r="C501" s="21" t="n"/>
    </row>
    <row r="502" ht="15.75" customHeight="1" s="102">
      <c r="A502" s="13">
        <f>IF(B502="","-",IF(COUNTIF(E.DETACHED!B:B,B502)+COUNTIF('A.S.PRINTOUT'!B:B,B502)&gt;1,COUNTIF(E.DETACHED!B:B,B502)+COUNTIF('A.S.PRINTOUT'!B:B,B502)-1,"-"))</f>
        <v/>
      </c>
      <c r="C502" s="21" t="n"/>
    </row>
    <row r="503" ht="15.75" customHeight="1" s="102">
      <c r="A503" s="13">
        <f>IF(B503="","-",IF(COUNTIF(E.DETACHED!B:B,B503)+COUNTIF('A.S.PRINTOUT'!B:B,B503)&gt;1,COUNTIF(E.DETACHED!B:B,B503)+COUNTIF('A.S.PRINTOUT'!B:B,B503)-1,"-"))</f>
        <v/>
      </c>
      <c r="C503" s="21" t="n"/>
    </row>
    <row r="504" ht="15.75" customHeight="1" s="102">
      <c r="A504" s="13">
        <f>IF(B504="","-",IF(COUNTIF(E.DETACHED!B:B,B504)+COUNTIF('A.S.PRINTOUT'!B:B,B504)&gt;1,COUNTIF(E.DETACHED!B:B,B504)+COUNTIF('A.S.PRINTOUT'!B:B,B504)-1,"-"))</f>
        <v/>
      </c>
      <c r="C504" s="21" t="n"/>
    </row>
    <row r="505" ht="15.75" customHeight="1" s="102">
      <c r="A505" s="13">
        <f>IF(B505="","-",IF(COUNTIF(E.DETACHED!B:B,B505)+COUNTIF('A.S.PRINTOUT'!B:B,B505)&gt;1,COUNTIF(E.DETACHED!B:B,B505)+COUNTIF('A.S.PRINTOUT'!B:B,B505)-1,"-"))</f>
        <v/>
      </c>
      <c r="C505" s="21" t="n"/>
    </row>
    <row r="506" ht="15.75" customHeight="1" s="102">
      <c r="A506" s="13">
        <f>IF(B506="","-",IF(COUNTIF(E.DETACHED!B:B,B506)+COUNTIF('A.S.PRINTOUT'!B:B,B506)&gt;1,COUNTIF(E.DETACHED!B:B,B506)+COUNTIF('A.S.PRINTOUT'!B:B,B506)-1,"-"))</f>
        <v/>
      </c>
      <c r="C506" s="21" t="n"/>
    </row>
    <row r="507" ht="15.75" customHeight="1" s="102">
      <c r="A507" s="13">
        <f>IF(B507="","-",IF(COUNTIF(E.DETACHED!B:B,B507)+COUNTIF('A.S.PRINTOUT'!B:B,B507)&gt;1,COUNTIF(E.DETACHED!B:B,B507)+COUNTIF('A.S.PRINTOUT'!B:B,B507)-1,"-"))</f>
        <v/>
      </c>
      <c r="C507" s="21" t="n"/>
    </row>
    <row r="508" ht="15.75" customHeight="1" s="102">
      <c r="A508" s="13">
        <f>IF(B508="","-",IF(COUNTIF(E.DETACHED!B:B,B508)+COUNTIF('A.S.PRINTOUT'!B:B,B508)&gt;1,COUNTIF(E.DETACHED!B:B,B508)+COUNTIF('A.S.PRINTOUT'!B:B,B508)-1,"-"))</f>
        <v/>
      </c>
      <c r="C508" s="21" t="n"/>
    </row>
    <row r="509" ht="15.75" customHeight="1" s="102">
      <c r="A509" s="13">
        <f>IF(B509="","-",IF(COUNTIF(E.DETACHED!B:B,B509)+COUNTIF('A.S.PRINTOUT'!B:B,B509)&gt;1,COUNTIF(E.DETACHED!B:B,B509)+COUNTIF('A.S.PRINTOUT'!B:B,B509)-1,"-"))</f>
        <v/>
      </c>
      <c r="C509" s="21" t="n"/>
    </row>
    <row r="510" ht="15.75" customHeight="1" s="102">
      <c r="A510" s="13">
        <f>IF(B510="","-",IF(COUNTIF(E.DETACHED!B:B,B510)+COUNTIF('A.S.PRINTOUT'!B:B,B510)&gt;1,COUNTIF(E.DETACHED!B:B,B510)+COUNTIF('A.S.PRINTOUT'!B:B,B510)-1,"-"))</f>
        <v/>
      </c>
      <c r="C510" s="21" t="n"/>
    </row>
    <row r="511" ht="15.75" customHeight="1" s="102">
      <c r="A511" s="13">
        <f>IF(B511="","-",IF(COUNTIF(E.DETACHED!B:B,B511)+COUNTIF('A.S.PRINTOUT'!B:B,B511)&gt;1,COUNTIF(E.DETACHED!B:B,B511)+COUNTIF('A.S.PRINTOUT'!B:B,B511)-1,"-"))</f>
        <v/>
      </c>
      <c r="C511" s="21" t="n"/>
    </row>
    <row r="512" ht="15.75" customHeight="1" s="102">
      <c r="A512" s="13">
        <f>IF(B512="","-",IF(COUNTIF(E.DETACHED!B:B,B512)+COUNTIF('A.S.PRINTOUT'!B:B,B512)&gt;1,COUNTIF(E.DETACHED!B:B,B512)+COUNTIF('A.S.PRINTOUT'!B:B,B512)-1,"-"))</f>
        <v/>
      </c>
      <c r="C512" s="21" t="n"/>
    </row>
    <row r="513" ht="15.75" customHeight="1" s="102">
      <c r="A513" s="13">
        <f>IF(B513="","-",IF(COUNTIF(E.DETACHED!B:B,B513)+COUNTIF('A.S.PRINTOUT'!B:B,B513)&gt;1,COUNTIF(E.DETACHED!B:B,B513)+COUNTIF('A.S.PRINTOUT'!B:B,B513)-1,"-"))</f>
        <v/>
      </c>
      <c r="C513" s="21" t="n"/>
    </row>
    <row r="514" ht="15.75" customHeight="1" s="102">
      <c r="A514" s="13">
        <f>IF(B514="","-",IF(COUNTIF(E.DETACHED!B:B,B514)+COUNTIF('A.S.PRINTOUT'!B:B,B514)&gt;1,COUNTIF(E.DETACHED!B:B,B514)+COUNTIF('A.S.PRINTOUT'!B:B,B514)-1,"-"))</f>
        <v/>
      </c>
      <c r="C514" s="21" t="n"/>
    </row>
    <row r="515" ht="15.75" customHeight="1" s="102">
      <c r="A515" s="13">
        <f>IF(B515="","-",IF(COUNTIF(E.DETACHED!B:B,B515)+COUNTIF('A.S.PRINTOUT'!B:B,B515)&gt;1,COUNTIF(E.DETACHED!B:B,B515)+COUNTIF('A.S.PRINTOUT'!B:B,B515)-1,"-"))</f>
        <v/>
      </c>
      <c r="C515" s="21" t="n"/>
    </row>
    <row r="516" ht="15.75" customHeight="1" s="102">
      <c r="A516" s="13">
        <f>IF(B516="","-",IF(COUNTIF(E.DETACHED!B:B,B516)+COUNTIF('A.S.PRINTOUT'!B:B,B516)&gt;1,COUNTIF(E.DETACHED!B:B,B516)+COUNTIF('A.S.PRINTOUT'!B:B,B516)-1,"-"))</f>
        <v/>
      </c>
      <c r="C516" s="21" t="n"/>
    </row>
    <row r="517" ht="15.75" customHeight="1" s="102">
      <c r="A517" s="13">
        <f>IF(B517="","-",IF(COUNTIF(E.DETACHED!B:B,B517)+COUNTIF('A.S.PRINTOUT'!B:B,B517)&gt;1,COUNTIF(E.DETACHED!B:B,B517)+COUNTIF('A.S.PRINTOUT'!B:B,B517)-1,"-"))</f>
        <v/>
      </c>
      <c r="C517" s="21" t="n"/>
    </row>
    <row r="518" ht="15.75" customHeight="1" s="102">
      <c r="A518" s="13">
        <f>IF(B518="","-",IF(COUNTIF(E.DETACHED!B:B,B518)+COUNTIF('A.S.PRINTOUT'!B:B,B518)&gt;1,COUNTIF(E.DETACHED!B:B,B518)+COUNTIF('A.S.PRINTOUT'!B:B,B518)-1,"-"))</f>
        <v/>
      </c>
      <c r="C518" s="21" t="n"/>
    </row>
    <row r="519" ht="15.75" customHeight="1" s="102">
      <c r="A519" s="13">
        <f>IF(B519="","-",IF(COUNTIF(E.DETACHED!B:B,B519)+COUNTIF('A.S.PRINTOUT'!B:B,B519)&gt;1,COUNTIF(E.DETACHED!B:B,B519)+COUNTIF('A.S.PRINTOUT'!B:B,B519)-1,"-"))</f>
        <v/>
      </c>
      <c r="C519" s="21" t="n"/>
    </row>
    <row r="520" ht="15.75" customHeight="1" s="102">
      <c r="A520" s="13">
        <f>IF(B520="","-",IF(COUNTIF(E.DETACHED!B:B,B520)+COUNTIF('A.S.PRINTOUT'!B:B,B520)&gt;1,COUNTIF(E.DETACHED!B:B,B520)+COUNTIF('A.S.PRINTOUT'!B:B,B520)-1,"-"))</f>
        <v/>
      </c>
      <c r="C520" s="21" t="n"/>
    </row>
    <row r="521" ht="15.75" customHeight="1" s="102">
      <c r="A521" s="13">
        <f>IF(B521="","-",IF(COUNTIF(E.DETACHED!B:B,B521)+COUNTIF('A.S.PRINTOUT'!B:B,B521)&gt;1,COUNTIF(E.DETACHED!B:B,B521)+COUNTIF('A.S.PRINTOUT'!B:B,B521)-1,"-"))</f>
        <v/>
      </c>
      <c r="C521" s="21" t="n"/>
    </row>
    <row r="522" ht="15.75" customHeight="1" s="102">
      <c r="A522" s="13">
        <f>IF(B522="","-",IF(COUNTIF(E.DETACHED!B:B,B522)+COUNTIF('A.S.PRINTOUT'!B:B,B522)&gt;1,COUNTIF(E.DETACHED!B:B,B522)+COUNTIF('A.S.PRINTOUT'!B:B,B522)-1,"-"))</f>
        <v/>
      </c>
      <c r="C522" s="21" t="n"/>
    </row>
    <row r="523" ht="15.75" customHeight="1" s="102">
      <c r="A523" s="13">
        <f>IF(B523="","-",IF(COUNTIF(E.DETACHED!B:B,B523)+COUNTIF('A.S.PRINTOUT'!B:B,B523)&gt;1,COUNTIF(E.DETACHED!B:B,B523)+COUNTIF('A.S.PRINTOUT'!B:B,B523)-1,"-"))</f>
        <v/>
      </c>
      <c r="C523" s="21" t="n"/>
    </row>
    <row r="524" ht="15.75" customHeight="1" s="102">
      <c r="A524" s="13">
        <f>IF(B524="","-",IF(COUNTIF(E.DETACHED!B:B,B524)+COUNTIF('A.S.PRINTOUT'!B:B,B524)&gt;1,COUNTIF(E.DETACHED!B:B,B524)+COUNTIF('A.S.PRINTOUT'!B:B,B524)-1,"-"))</f>
        <v/>
      </c>
      <c r="C524" s="21" t="n"/>
    </row>
    <row r="525" ht="15.75" customHeight="1" s="102">
      <c r="A525" s="13">
        <f>IF(B525="","-",IF(COUNTIF(E.DETACHED!B:B,B525)+COUNTIF('A.S.PRINTOUT'!B:B,B525)&gt;1,COUNTIF(E.DETACHED!B:B,B525)+COUNTIF('A.S.PRINTOUT'!B:B,B525)-1,"-"))</f>
        <v/>
      </c>
      <c r="C525" s="21" t="n"/>
    </row>
    <row r="526" ht="15.75" customHeight="1" s="102">
      <c r="A526" s="13">
        <f>IF(B526="","-",IF(COUNTIF(E.DETACHED!B:B,B526)+COUNTIF('A.S.PRINTOUT'!B:B,B526)&gt;1,COUNTIF(E.DETACHED!B:B,B526)+COUNTIF('A.S.PRINTOUT'!B:B,B526)-1,"-"))</f>
        <v/>
      </c>
      <c r="C526" s="21" t="n"/>
    </row>
    <row r="527" ht="15.75" customHeight="1" s="102">
      <c r="A527" s="13">
        <f>IF(B527="","-",IF(COUNTIF(E.DETACHED!B:B,B527)+COUNTIF('A.S.PRINTOUT'!B:B,B527)&gt;1,COUNTIF(E.DETACHED!B:B,B527)+COUNTIF('A.S.PRINTOUT'!B:B,B527)-1,"-"))</f>
        <v/>
      </c>
      <c r="C527" s="21" t="n"/>
    </row>
    <row r="528" ht="15.75" customHeight="1" s="102">
      <c r="A528" s="13">
        <f>IF(B528="","-",IF(COUNTIF(E.DETACHED!B:B,B528)+COUNTIF('A.S.PRINTOUT'!B:B,B528)&gt;1,COUNTIF(E.DETACHED!B:B,B528)+COUNTIF('A.S.PRINTOUT'!B:B,B528)-1,"-"))</f>
        <v/>
      </c>
      <c r="C528" s="21" t="n"/>
    </row>
    <row r="529" ht="15.75" customHeight="1" s="102">
      <c r="A529" s="13">
        <f>IF(B529="","-",IF(COUNTIF(E.DETACHED!B:B,B529)+COUNTIF('A.S.PRINTOUT'!B:B,B529)&gt;1,COUNTIF(E.DETACHED!B:B,B529)+COUNTIF('A.S.PRINTOUT'!B:B,B529)-1,"-"))</f>
        <v/>
      </c>
      <c r="C529" s="21" t="n"/>
    </row>
    <row r="530" ht="15.75" customHeight="1" s="102">
      <c r="A530" s="13">
        <f>IF(B530="","-",IF(COUNTIF(E.DETACHED!B:B,B530)+COUNTIF('A.S.PRINTOUT'!B:B,B530)&gt;1,COUNTIF(E.DETACHED!B:B,B530)+COUNTIF('A.S.PRINTOUT'!B:B,B530)-1,"-"))</f>
        <v/>
      </c>
      <c r="C530" s="21" t="n"/>
    </row>
    <row r="531" ht="15.75" customHeight="1" s="102">
      <c r="A531" s="13">
        <f>IF(B531="","-",IF(COUNTIF(E.DETACHED!B:B,B531)+COUNTIF('A.S.PRINTOUT'!B:B,B531)&gt;1,COUNTIF(E.DETACHED!B:B,B531)+COUNTIF('A.S.PRINTOUT'!B:B,B531)-1,"-"))</f>
        <v/>
      </c>
      <c r="C531" s="21" t="n"/>
    </row>
    <row r="532" ht="15.75" customHeight="1" s="102">
      <c r="A532" s="13">
        <f>IF(B532="","-",IF(COUNTIF(E.DETACHED!B:B,B532)+COUNTIF('A.S.PRINTOUT'!B:B,B532)&gt;1,COUNTIF(E.DETACHED!B:B,B532)+COUNTIF('A.S.PRINTOUT'!B:B,B532)-1,"-"))</f>
        <v/>
      </c>
      <c r="C532" s="21" t="n"/>
    </row>
    <row r="533" ht="15.75" customHeight="1" s="102">
      <c r="A533" s="13">
        <f>IF(B533="","-",IF(COUNTIF(E.DETACHED!B:B,B533)+COUNTIF('A.S.PRINTOUT'!B:B,B533)&gt;1,COUNTIF(E.DETACHED!B:B,B533)+COUNTIF('A.S.PRINTOUT'!B:B,B533)-1,"-"))</f>
        <v/>
      </c>
      <c r="C533" s="21" t="n"/>
    </row>
    <row r="534" ht="15.75" customHeight="1" s="102">
      <c r="A534" s="13">
        <f>IF(B534="","-",IF(COUNTIF(E.DETACHED!B:B,B534)+COUNTIF('A.S.PRINTOUT'!B:B,B534)&gt;1,COUNTIF(E.DETACHED!B:B,B534)+COUNTIF('A.S.PRINTOUT'!B:B,B534)-1,"-"))</f>
        <v/>
      </c>
      <c r="C534" s="21" t="n"/>
    </row>
    <row r="535" ht="15.75" customHeight="1" s="102">
      <c r="A535" s="13">
        <f>IF(B535="","-",IF(COUNTIF(E.DETACHED!B:B,B535)+COUNTIF('A.S.PRINTOUT'!B:B,B535)&gt;1,COUNTIF(E.DETACHED!B:B,B535)+COUNTIF('A.S.PRINTOUT'!B:B,B535)-1,"-"))</f>
        <v/>
      </c>
      <c r="C535" s="21" t="n"/>
    </row>
    <row r="536" ht="15.75" customHeight="1" s="102">
      <c r="A536" s="13">
        <f>IF(B536="","-",IF(COUNTIF(E.DETACHED!B:B,B536)+COUNTIF('A.S.PRINTOUT'!B:B,B536)&gt;1,COUNTIF(E.DETACHED!B:B,B536)+COUNTIF('A.S.PRINTOUT'!B:B,B536)-1,"-"))</f>
        <v/>
      </c>
      <c r="C536" s="21" t="n"/>
    </row>
    <row r="537" ht="15.75" customHeight="1" s="102">
      <c r="A537" s="13">
        <f>IF(B537="","-",IF(COUNTIF(E.DETACHED!B:B,B537)+COUNTIF('A.S.PRINTOUT'!B:B,B537)&gt;1,COUNTIF(E.DETACHED!B:B,B537)+COUNTIF('A.S.PRINTOUT'!B:B,B537)-1,"-"))</f>
        <v/>
      </c>
      <c r="C537" s="21" t="n"/>
    </row>
    <row r="538" ht="15.75" customHeight="1" s="102">
      <c r="A538" s="13">
        <f>IF(B538="","-",IF(COUNTIF(E.DETACHED!B:B,B538)+COUNTIF('A.S.PRINTOUT'!B:B,B538)&gt;1,COUNTIF(E.DETACHED!B:B,B538)+COUNTIF('A.S.PRINTOUT'!B:B,B538)-1,"-"))</f>
        <v/>
      </c>
      <c r="C538" s="21" t="n"/>
    </row>
    <row r="539" ht="15.75" customHeight="1" s="102">
      <c r="A539" s="13">
        <f>IF(B539="","-",IF(COUNTIF(E.DETACHED!B:B,B539)+COUNTIF('A.S.PRINTOUT'!B:B,B539)&gt;1,COUNTIF(E.DETACHED!B:B,B539)+COUNTIF('A.S.PRINTOUT'!B:B,B539)-1,"-"))</f>
        <v/>
      </c>
      <c r="C539" s="21" t="n"/>
    </row>
    <row r="540" ht="15.75" customHeight="1" s="102">
      <c r="A540" s="13">
        <f>IF(B540="","-",IF(COUNTIF(E.DETACHED!B:B,B540)+COUNTIF('A.S.PRINTOUT'!B:B,B540)&gt;1,COUNTIF(E.DETACHED!B:B,B540)+COUNTIF('A.S.PRINTOUT'!B:B,B540)-1,"-"))</f>
        <v/>
      </c>
      <c r="C540" s="21" t="n"/>
    </row>
    <row r="541" ht="15.75" customHeight="1" s="102">
      <c r="A541" s="13">
        <f>IF(B541="","-",IF(COUNTIF(E.DETACHED!B:B,B541)+COUNTIF('A.S.PRINTOUT'!B:B,B541)&gt;1,COUNTIF(E.DETACHED!B:B,B541)+COUNTIF('A.S.PRINTOUT'!B:B,B541)-1,"-"))</f>
        <v/>
      </c>
      <c r="C541" s="21" t="n"/>
    </row>
    <row r="542" ht="15.75" customHeight="1" s="102">
      <c r="A542" s="13">
        <f>IF(B542="","-",IF(COUNTIF(E.DETACHED!B:B,B542)+COUNTIF('A.S.PRINTOUT'!B:B,B542)&gt;1,COUNTIF(E.DETACHED!B:B,B542)+COUNTIF('A.S.PRINTOUT'!B:B,B542)-1,"-"))</f>
        <v/>
      </c>
      <c r="C542" s="21" t="n"/>
    </row>
    <row r="543" ht="15.75" customHeight="1" s="102">
      <c r="A543" s="13">
        <f>IF(B543="","-",IF(COUNTIF(E.DETACHED!B:B,B543)+COUNTIF('A.S.PRINTOUT'!B:B,B543)&gt;1,COUNTIF(E.DETACHED!B:B,B543)+COUNTIF('A.S.PRINTOUT'!B:B,B543)-1,"-"))</f>
        <v/>
      </c>
      <c r="C543" s="21" t="n"/>
    </row>
    <row r="544" ht="15.75" customHeight="1" s="102">
      <c r="A544" s="13">
        <f>IF(B544="","-",IF(COUNTIF(E.DETACHED!B:B,B544)+COUNTIF('A.S.PRINTOUT'!B:B,B544)&gt;1,COUNTIF(E.DETACHED!B:B,B544)+COUNTIF('A.S.PRINTOUT'!B:B,B544)-1,"-"))</f>
        <v/>
      </c>
      <c r="C544" s="21" t="n"/>
    </row>
    <row r="545" ht="15.75" customHeight="1" s="102">
      <c r="A545" s="13">
        <f>IF(B545="","-",IF(COUNTIF(E.DETACHED!B:B,B545)+COUNTIF('A.S.PRINTOUT'!B:B,B545)&gt;1,COUNTIF(E.DETACHED!B:B,B545)+COUNTIF('A.S.PRINTOUT'!B:B,B545)-1,"-"))</f>
        <v/>
      </c>
      <c r="C545" s="21" t="n"/>
    </row>
    <row r="546" ht="15.75" customHeight="1" s="102">
      <c r="A546" s="13">
        <f>IF(B546="","-",IF(COUNTIF(E.DETACHED!B:B,B546)+COUNTIF('A.S.PRINTOUT'!B:B,B546)&gt;1,COUNTIF(E.DETACHED!B:B,B546)+COUNTIF('A.S.PRINTOUT'!B:B,B546)-1,"-"))</f>
        <v/>
      </c>
      <c r="C546" s="21" t="n"/>
    </row>
    <row r="547" ht="15.75" customHeight="1" s="102">
      <c r="A547" s="13">
        <f>IF(B547="","-",IF(COUNTIF(E.DETACHED!B:B,B547)+COUNTIF('A.S.PRINTOUT'!B:B,B547)&gt;1,COUNTIF(E.DETACHED!B:B,B547)+COUNTIF('A.S.PRINTOUT'!B:B,B547)-1,"-"))</f>
        <v/>
      </c>
      <c r="C547" s="21" t="n"/>
    </row>
    <row r="548" ht="15.75" customHeight="1" s="102">
      <c r="A548" s="13">
        <f>IF(B548="","-",IF(COUNTIF(E.DETACHED!B:B,B548)+COUNTIF('A.S.PRINTOUT'!B:B,B548)&gt;1,COUNTIF(E.DETACHED!B:B,B548)+COUNTIF('A.S.PRINTOUT'!B:B,B548)-1,"-"))</f>
        <v/>
      </c>
      <c r="C548" s="21" t="n"/>
    </row>
    <row r="549" ht="15.75" customHeight="1" s="102">
      <c r="A549" s="13">
        <f>IF(B549="","-",IF(COUNTIF(E.DETACHED!B:B,B549)+COUNTIF('A.S.PRINTOUT'!B:B,B549)&gt;1,COUNTIF(E.DETACHED!B:B,B549)+COUNTIF('A.S.PRINTOUT'!B:B,B549)-1,"-"))</f>
        <v/>
      </c>
      <c r="C549" s="21" t="n"/>
    </row>
    <row r="550" ht="15.75" customHeight="1" s="102">
      <c r="A550" s="13">
        <f>IF(B550="","-",IF(COUNTIF(E.DETACHED!B:B,B550)+COUNTIF('A.S.PRINTOUT'!B:B,B550)&gt;1,COUNTIF(E.DETACHED!B:B,B550)+COUNTIF('A.S.PRINTOUT'!B:B,B550)-1,"-"))</f>
        <v/>
      </c>
      <c r="C550" s="21" t="n"/>
    </row>
    <row r="551" ht="15.75" customHeight="1" s="102">
      <c r="A551" s="13">
        <f>IF(B551="","-",IF(COUNTIF(E.DETACHED!B:B,B551)+COUNTIF('A.S.PRINTOUT'!B:B,B551)&gt;1,COUNTIF(E.DETACHED!B:B,B551)+COUNTIF('A.S.PRINTOUT'!B:B,B551)-1,"-"))</f>
        <v/>
      </c>
      <c r="C551" s="21" t="n"/>
    </row>
    <row r="552" ht="15.75" customHeight="1" s="102">
      <c r="A552" s="13">
        <f>IF(B552="","-",IF(COUNTIF(E.DETACHED!B:B,B552)+COUNTIF('A.S.PRINTOUT'!B:B,B552)&gt;1,COUNTIF(E.DETACHED!B:B,B552)+COUNTIF('A.S.PRINTOUT'!B:B,B552)-1,"-"))</f>
        <v/>
      </c>
      <c r="C552" s="21" t="n"/>
    </row>
    <row r="553" ht="15.75" customHeight="1" s="102">
      <c r="A553" s="13">
        <f>IF(B553="","-",IF(COUNTIF(E.DETACHED!B:B,B553)+COUNTIF('A.S.PRINTOUT'!B:B,B553)&gt;1,COUNTIF(E.DETACHED!B:B,B553)+COUNTIF('A.S.PRINTOUT'!B:B,B553)-1,"-"))</f>
        <v/>
      </c>
      <c r="C553" s="21" t="n"/>
    </row>
    <row r="554" ht="15.75" customHeight="1" s="102">
      <c r="A554" s="13">
        <f>IF(B554="","-",IF(COUNTIF(E.DETACHED!B:B,B554)+COUNTIF('A.S.PRINTOUT'!B:B,B554)&gt;1,COUNTIF(E.DETACHED!B:B,B554)+COUNTIF('A.S.PRINTOUT'!B:B,B554)-1,"-"))</f>
        <v/>
      </c>
      <c r="C554" s="21" t="n"/>
    </row>
    <row r="555" ht="15.75" customHeight="1" s="102">
      <c r="A555" s="13">
        <f>IF(B555="","-",IF(COUNTIF(E.DETACHED!B:B,B555)+COUNTIF('A.S.PRINTOUT'!B:B,B555)&gt;1,COUNTIF(E.DETACHED!B:B,B555)+COUNTIF('A.S.PRINTOUT'!B:B,B555)-1,"-"))</f>
        <v/>
      </c>
      <c r="C555" s="21" t="n"/>
    </row>
    <row r="556" ht="15.75" customHeight="1" s="102">
      <c r="A556" s="13">
        <f>IF(B556="","-",IF(COUNTIF(E.DETACHED!B:B,B556)+COUNTIF('A.S.PRINTOUT'!B:B,B556)&gt;1,COUNTIF(E.DETACHED!B:B,B556)+COUNTIF('A.S.PRINTOUT'!B:B,B556)-1,"-"))</f>
        <v/>
      </c>
      <c r="C556" s="21" t="n"/>
    </row>
    <row r="557" ht="15.75" customHeight="1" s="102">
      <c r="A557" s="13">
        <f>IF(B557="","-",IF(COUNTIF(E.DETACHED!B:B,B557)+COUNTIF('A.S.PRINTOUT'!B:B,B557)&gt;1,COUNTIF(E.DETACHED!B:B,B557)+COUNTIF('A.S.PRINTOUT'!B:B,B557)-1,"-"))</f>
        <v/>
      </c>
      <c r="C557" s="21" t="n"/>
    </row>
    <row r="558" ht="15.75" customHeight="1" s="102">
      <c r="A558" s="13">
        <f>IF(B558="","-",IF(COUNTIF(E.DETACHED!B:B,B558)+COUNTIF('A.S.PRINTOUT'!B:B,B558)&gt;1,COUNTIF(E.DETACHED!B:B,B558)+COUNTIF('A.S.PRINTOUT'!B:B,B558)-1,"-"))</f>
        <v/>
      </c>
      <c r="C558" s="21" t="n"/>
    </row>
    <row r="559" ht="15.75" customHeight="1" s="102">
      <c r="A559" s="13">
        <f>IF(B559="","-",IF(COUNTIF(E.DETACHED!B:B,B559)+COUNTIF('A.S.PRINTOUT'!B:B,B559)&gt;1,COUNTIF(E.DETACHED!B:B,B559)+COUNTIF('A.S.PRINTOUT'!B:B,B559)-1,"-"))</f>
        <v/>
      </c>
      <c r="C559" s="21" t="n"/>
    </row>
    <row r="560" ht="15.75" customHeight="1" s="102">
      <c r="A560" s="13">
        <f>IF(B560="","-",IF(COUNTIF(E.DETACHED!B:B,B560)+COUNTIF('A.S.PRINTOUT'!B:B,B560)&gt;1,COUNTIF(E.DETACHED!B:B,B560)+COUNTIF('A.S.PRINTOUT'!B:B,B560)-1,"-"))</f>
        <v/>
      </c>
      <c r="C560" s="21" t="n"/>
    </row>
    <row r="561" ht="15.75" customHeight="1" s="102">
      <c r="A561" s="13">
        <f>IF(B561="","-",IF(COUNTIF(E.DETACHED!B:B,B561)+COUNTIF('A.S.PRINTOUT'!B:B,B561)&gt;1,COUNTIF(E.DETACHED!B:B,B561)+COUNTIF('A.S.PRINTOUT'!B:B,B561)-1,"-"))</f>
        <v/>
      </c>
      <c r="C561" s="21" t="n"/>
    </row>
    <row r="562" ht="15.75" customHeight="1" s="102">
      <c r="A562" s="13">
        <f>IF(B562="","-",IF(COUNTIF(E.DETACHED!B:B,B562)+COUNTIF('A.S.PRINTOUT'!B:B,B562)&gt;1,COUNTIF(E.DETACHED!B:B,B562)+COUNTIF('A.S.PRINTOUT'!B:B,B562)-1,"-"))</f>
        <v/>
      </c>
      <c r="C562" s="21" t="n"/>
    </row>
    <row r="563" ht="15.75" customHeight="1" s="102">
      <c r="A563" s="13">
        <f>IF(B563="","-",IF(COUNTIF(E.DETACHED!B:B,B563)+COUNTIF('A.S.PRINTOUT'!B:B,B563)&gt;1,COUNTIF(E.DETACHED!B:B,B563)+COUNTIF('A.S.PRINTOUT'!B:B,B563)-1,"-"))</f>
        <v/>
      </c>
      <c r="C563" s="21" t="n"/>
    </row>
    <row r="564" ht="15.75" customHeight="1" s="102">
      <c r="A564" s="13">
        <f>IF(B564="","-",IF(COUNTIF(E.DETACHED!B:B,B564)+COUNTIF('A.S.PRINTOUT'!B:B,B564)&gt;1,COUNTIF(E.DETACHED!B:B,B564)+COUNTIF('A.S.PRINTOUT'!B:B,B564)-1,"-"))</f>
        <v/>
      </c>
      <c r="C564" s="21" t="n"/>
    </row>
    <row r="565" ht="15.75" customHeight="1" s="102">
      <c r="A565" s="13">
        <f>IF(B565="","-",IF(COUNTIF(E.DETACHED!B:B,B565)+COUNTIF('A.S.PRINTOUT'!B:B,B565)&gt;1,COUNTIF(E.DETACHED!B:B,B565)+COUNTIF('A.S.PRINTOUT'!B:B,B565)-1,"-"))</f>
        <v/>
      </c>
      <c r="C565" s="21" t="n"/>
    </row>
    <row r="566" ht="15.75" customHeight="1" s="102">
      <c r="A566" s="13">
        <f>IF(B566="","-",IF(COUNTIF(E.DETACHED!B:B,B566)+COUNTIF('A.S.PRINTOUT'!B:B,B566)&gt;1,COUNTIF(E.DETACHED!B:B,B566)+COUNTIF('A.S.PRINTOUT'!B:B,B566)-1,"-"))</f>
        <v/>
      </c>
      <c r="C566" s="21" t="n"/>
    </row>
    <row r="567" ht="15.75" customHeight="1" s="102">
      <c r="A567" s="13">
        <f>IF(B567="","-",IF(COUNTIF(E.DETACHED!B:B,B567)+COUNTIF('A.S.PRINTOUT'!B:B,B567)&gt;1,COUNTIF(E.DETACHED!B:B,B567)+COUNTIF('A.S.PRINTOUT'!B:B,B567)-1,"-"))</f>
        <v/>
      </c>
      <c r="C567" s="21" t="n"/>
    </row>
    <row r="568" ht="15.75" customHeight="1" s="102">
      <c r="A568" s="13">
        <f>IF(B568="","-",IF(COUNTIF(E.DETACHED!B:B,B568)+COUNTIF('A.S.PRINTOUT'!B:B,B568)&gt;1,COUNTIF(E.DETACHED!B:B,B568)+COUNTIF('A.S.PRINTOUT'!B:B,B568)-1,"-"))</f>
        <v/>
      </c>
      <c r="C568" s="21" t="n"/>
    </row>
    <row r="569" ht="15.75" customHeight="1" s="102">
      <c r="A569" s="13">
        <f>IF(B569="","-",IF(COUNTIF(E.DETACHED!B:B,B569)+COUNTIF('A.S.PRINTOUT'!B:B,B569)&gt;1,COUNTIF(E.DETACHED!B:B,B569)+COUNTIF('A.S.PRINTOUT'!B:B,B569)-1,"-"))</f>
        <v/>
      </c>
      <c r="C569" s="21" t="n"/>
    </row>
    <row r="570" ht="15.75" customHeight="1" s="102">
      <c r="A570" s="13">
        <f>IF(B570="","-",IF(COUNTIF(E.DETACHED!B:B,B570)+COUNTIF('A.S.PRINTOUT'!B:B,B570)&gt;1,COUNTIF(E.DETACHED!B:B,B570)+COUNTIF('A.S.PRINTOUT'!B:B,B570)-1,"-"))</f>
        <v/>
      </c>
      <c r="C570" s="21" t="n"/>
    </row>
    <row r="571" ht="15.75" customHeight="1" s="102">
      <c r="A571" s="13">
        <f>IF(B571="","-",IF(COUNTIF(E.DETACHED!B:B,B571)+COUNTIF('A.S.PRINTOUT'!B:B,B571)&gt;1,COUNTIF(E.DETACHED!B:B,B571)+COUNTIF('A.S.PRINTOUT'!B:B,B571)-1,"-"))</f>
        <v/>
      </c>
      <c r="C571" s="21" t="n"/>
    </row>
    <row r="572" ht="15.75" customHeight="1" s="102">
      <c r="A572" s="13">
        <f>IF(B572="","-",IF(COUNTIF(E.DETACHED!B:B,B572)+COUNTIF('A.S.PRINTOUT'!B:B,B572)&gt;1,COUNTIF(E.DETACHED!B:B,B572)+COUNTIF('A.S.PRINTOUT'!B:B,B572)-1,"-"))</f>
        <v/>
      </c>
      <c r="C572" s="21" t="n"/>
    </row>
    <row r="573" ht="15.75" customHeight="1" s="102">
      <c r="A573" s="13">
        <f>IF(B573="","-",IF(COUNTIF(E.DETACHED!B:B,B573)+COUNTIF('A.S.PRINTOUT'!B:B,B573)&gt;1,COUNTIF(E.DETACHED!B:B,B573)+COUNTIF('A.S.PRINTOUT'!B:B,B573)-1,"-"))</f>
        <v/>
      </c>
      <c r="C573" s="21" t="n"/>
    </row>
    <row r="574" ht="15.75" customHeight="1" s="102">
      <c r="A574" s="13">
        <f>IF(B574="","-",IF(COUNTIF(E.DETACHED!B:B,B574)+COUNTIF('A.S.PRINTOUT'!B:B,B574)&gt;1,COUNTIF(E.DETACHED!B:B,B574)+COUNTIF('A.S.PRINTOUT'!B:B,B574)-1,"-"))</f>
        <v/>
      </c>
      <c r="C574" s="21" t="n"/>
    </row>
    <row r="575" ht="15.75" customHeight="1" s="102">
      <c r="A575" s="13">
        <f>IF(B575="","-",IF(COUNTIF(E.DETACHED!B:B,B575)+COUNTIF('A.S.PRINTOUT'!B:B,B575)&gt;1,COUNTIF(E.DETACHED!B:B,B575)+COUNTIF('A.S.PRINTOUT'!B:B,B575)-1,"-"))</f>
        <v/>
      </c>
      <c r="C575" s="21" t="n"/>
    </row>
    <row r="576" ht="15.75" customHeight="1" s="102">
      <c r="A576" s="13">
        <f>IF(B576="","-",IF(COUNTIF(E.DETACHED!B:B,B576)+COUNTIF('A.S.PRINTOUT'!B:B,B576)&gt;1,COUNTIF(E.DETACHED!B:B,B576)+COUNTIF('A.S.PRINTOUT'!B:B,B576)-1,"-"))</f>
        <v/>
      </c>
      <c r="C576" s="21" t="n"/>
    </row>
    <row r="577" ht="15.75" customHeight="1" s="102">
      <c r="A577" s="13">
        <f>IF(B577="","-",IF(COUNTIF(E.DETACHED!B:B,B577)+COUNTIF('A.S.PRINTOUT'!B:B,B577)&gt;1,COUNTIF(E.DETACHED!B:B,B577)+COUNTIF('A.S.PRINTOUT'!B:B,B577)-1,"-"))</f>
        <v/>
      </c>
      <c r="C577" s="21" t="n"/>
    </row>
    <row r="578" ht="15.75" customHeight="1" s="102">
      <c r="A578" s="13">
        <f>IF(B578="","-",IF(COUNTIF(E.DETACHED!B:B,B578)+COUNTIF('A.S.PRINTOUT'!B:B,B578)&gt;1,COUNTIF(E.DETACHED!B:B,B578)+COUNTIF('A.S.PRINTOUT'!B:B,B578)-1,"-"))</f>
        <v/>
      </c>
      <c r="C578" s="21" t="n"/>
    </row>
    <row r="579" ht="15.75" customHeight="1" s="102">
      <c r="A579" s="13">
        <f>IF(B579="","-",IF(COUNTIF(E.DETACHED!B:B,B579)+COUNTIF('A.S.PRINTOUT'!B:B,B579)&gt;1,COUNTIF(E.DETACHED!B:B,B579)+COUNTIF('A.S.PRINTOUT'!B:B,B579)-1,"-"))</f>
        <v/>
      </c>
      <c r="C579" s="21" t="n"/>
    </row>
    <row r="580" ht="15.75" customHeight="1" s="102">
      <c r="A580" s="13">
        <f>IF(B580="","-",IF(COUNTIF(E.DETACHED!B:B,B580)+COUNTIF('A.S.PRINTOUT'!B:B,B580)&gt;1,COUNTIF(E.DETACHED!B:B,B580)+COUNTIF('A.S.PRINTOUT'!B:B,B580)-1,"-"))</f>
        <v/>
      </c>
      <c r="C580" s="21" t="n"/>
    </row>
    <row r="581" ht="15.75" customHeight="1" s="102">
      <c r="A581" s="13">
        <f>IF(B581="","-",IF(COUNTIF(E.DETACHED!B:B,B581)+COUNTIF('A.S.PRINTOUT'!B:B,B581)&gt;1,COUNTIF(E.DETACHED!B:B,B581)+COUNTIF('A.S.PRINTOUT'!B:B,B581)-1,"-"))</f>
        <v/>
      </c>
      <c r="C581" s="21" t="n"/>
    </row>
    <row r="582" ht="15.75" customHeight="1" s="102">
      <c r="A582" s="13">
        <f>IF(B582="","-",IF(COUNTIF(E.DETACHED!B:B,B582)+COUNTIF('A.S.PRINTOUT'!B:B,B582)&gt;1,COUNTIF(E.DETACHED!B:B,B582)+COUNTIF('A.S.PRINTOUT'!B:B,B582)-1,"-"))</f>
        <v/>
      </c>
      <c r="C582" s="21" t="n"/>
    </row>
    <row r="583" ht="15.75" customHeight="1" s="102">
      <c r="A583" s="13">
        <f>IF(B583="","-",IF(COUNTIF(E.DETACHED!B:B,B583)+COUNTIF('A.S.PRINTOUT'!B:B,B583)&gt;1,COUNTIF(E.DETACHED!B:B,B583)+COUNTIF('A.S.PRINTOUT'!B:B,B583)-1,"-"))</f>
        <v/>
      </c>
      <c r="C583" s="21" t="n"/>
    </row>
    <row r="584" ht="15.75" customHeight="1" s="102">
      <c r="A584" s="13">
        <f>IF(B584="","-",IF(COUNTIF(E.DETACHED!B:B,B584)+COUNTIF('A.S.PRINTOUT'!B:B,B584)&gt;1,COUNTIF(E.DETACHED!B:B,B584)+COUNTIF('A.S.PRINTOUT'!B:B,B584)-1,"-"))</f>
        <v/>
      </c>
      <c r="C584" s="21" t="n"/>
    </row>
    <row r="585" ht="15.75" customHeight="1" s="102">
      <c r="A585" s="13">
        <f>IF(B585="","-",IF(COUNTIF(E.DETACHED!B:B,B585)+COUNTIF('A.S.PRINTOUT'!B:B,B585)&gt;1,COUNTIF(E.DETACHED!B:B,B585)+COUNTIF('A.S.PRINTOUT'!B:B,B585)-1,"-"))</f>
        <v/>
      </c>
      <c r="C585" s="21" t="n"/>
    </row>
    <row r="586" ht="15.75" customHeight="1" s="102">
      <c r="A586" s="13">
        <f>IF(B586="","-",IF(COUNTIF(E.DETACHED!B:B,B586)+COUNTIF('A.S.PRINTOUT'!B:B,B586)&gt;1,COUNTIF(E.DETACHED!B:B,B586)+COUNTIF('A.S.PRINTOUT'!B:B,B586)-1,"-"))</f>
        <v/>
      </c>
      <c r="C586" s="21" t="n"/>
    </row>
    <row r="587" ht="15.75" customHeight="1" s="102">
      <c r="A587" s="13">
        <f>IF(B587="","-",IF(COUNTIF(E.DETACHED!B:B,B587)+COUNTIF('A.S.PRINTOUT'!B:B,B587)&gt;1,COUNTIF(E.DETACHED!B:B,B587)+COUNTIF('A.S.PRINTOUT'!B:B,B587)-1,"-"))</f>
        <v/>
      </c>
      <c r="C587" s="21" t="n"/>
    </row>
    <row r="588" ht="15.75" customHeight="1" s="102">
      <c r="A588" s="13">
        <f>IF(B588="","-",IF(COUNTIF(E.DETACHED!B:B,B588)+COUNTIF('A.S.PRINTOUT'!B:B,B588)&gt;1,COUNTIF(E.DETACHED!B:B,B588)+COUNTIF('A.S.PRINTOUT'!B:B,B588)-1,"-"))</f>
        <v/>
      </c>
      <c r="C588" s="21" t="n"/>
    </row>
    <row r="589" ht="15.75" customHeight="1" s="102">
      <c r="A589" s="13">
        <f>IF(B589="","-",IF(COUNTIF(E.DETACHED!B:B,B589)+COUNTIF('A.S.PRINTOUT'!B:B,B589)&gt;1,COUNTIF(E.DETACHED!B:B,B589)+COUNTIF('A.S.PRINTOUT'!B:B,B589)-1,"-"))</f>
        <v/>
      </c>
      <c r="C589" s="21" t="n"/>
    </row>
    <row r="590" ht="15.75" customHeight="1" s="102">
      <c r="A590" s="13">
        <f>IF(B590="","-",IF(COUNTIF(E.DETACHED!B:B,B590)+COUNTIF('A.S.PRINTOUT'!B:B,B590)&gt;1,COUNTIF(E.DETACHED!B:B,B590)+COUNTIF('A.S.PRINTOUT'!B:B,B590)-1,"-"))</f>
        <v/>
      </c>
      <c r="C590" s="21" t="n"/>
    </row>
    <row r="591" ht="15.75" customHeight="1" s="102">
      <c r="C591" s="21" t="n"/>
    </row>
    <row r="592" ht="15.75" customHeight="1" s="102">
      <c r="C592" s="21" t="n"/>
    </row>
    <row r="593" ht="15.75" customHeight="1" s="102">
      <c r="C593" s="21" t="n"/>
    </row>
    <row r="594" ht="15.75" customHeight="1" s="102">
      <c r="C594" s="21" t="n"/>
    </row>
    <row r="595" ht="15.75" customHeight="1" s="102">
      <c r="C595" s="21" t="n"/>
    </row>
    <row r="596" ht="15.75" customHeight="1" s="102">
      <c r="C596" s="21" t="n"/>
    </row>
    <row r="597" ht="15.75" customHeight="1" s="102">
      <c r="C597" s="21" t="n"/>
    </row>
    <row r="598" ht="15.75" customHeight="1" s="102">
      <c r="C598" s="21" t="n"/>
    </row>
    <row r="599" ht="15.75" customHeight="1" s="102">
      <c r="C599" s="21" t="n"/>
    </row>
    <row r="600" ht="15.75" customHeight="1" s="102">
      <c r="C600" s="21" t="n"/>
    </row>
    <row r="601" ht="15.75" customHeight="1" s="102">
      <c r="C601" s="21" t="n"/>
    </row>
    <row r="602" ht="15.75" customHeight="1" s="102">
      <c r="C602" s="21" t="n"/>
    </row>
    <row r="603" ht="15.75" customHeight="1" s="102">
      <c r="C603" s="21" t="n"/>
    </row>
    <row r="604" ht="15.75" customHeight="1" s="102">
      <c r="C604" s="21" t="n"/>
    </row>
    <row r="605" ht="15.75" customHeight="1" s="102">
      <c r="C605" s="21" t="n"/>
    </row>
    <row r="606" ht="15.75" customHeight="1" s="102">
      <c r="C606" s="21" t="n"/>
    </row>
    <row r="607" ht="15.75" customHeight="1" s="102">
      <c r="C607" s="21" t="n"/>
    </row>
    <row r="608" ht="15.75" customHeight="1" s="102">
      <c r="C608" s="21" t="n"/>
    </row>
    <row r="609" ht="15.75" customHeight="1" s="102">
      <c r="C609" s="21" t="n"/>
    </row>
    <row r="610" ht="15.75" customHeight="1" s="102">
      <c r="C610" s="21" t="n"/>
    </row>
    <row r="611" ht="15.75" customHeight="1" s="102">
      <c r="C611" s="21" t="n"/>
    </row>
    <row r="612" ht="15.75" customHeight="1" s="102">
      <c r="C612" s="21" t="n"/>
    </row>
    <row r="613" ht="15.75" customHeight="1" s="102">
      <c r="C613" s="21" t="n"/>
    </row>
    <row r="614" ht="15.75" customHeight="1" s="102">
      <c r="C614" s="21" t="n"/>
    </row>
    <row r="615" ht="15.75" customHeight="1" s="102">
      <c r="C615" s="21" t="n"/>
    </row>
    <row r="616" ht="15.75" customHeight="1" s="102">
      <c r="C616" s="21" t="n"/>
    </row>
    <row r="617" ht="15.75" customHeight="1" s="102">
      <c r="C617" s="21" t="n"/>
    </row>
    <row r="618" ht="15.75" customHeight="1" s="102">
      <c r="C618" s="21" t="n"/>
    </row>
    <row r="619" ht="15.75" customHeight="1" s="102">
      <c r="C619" s="21" t="n"/>
    </row>
    <row r="620" ht="15.75" customHeight="1" s="102">
      <c r="C620" s="21" t="n"/>
    </row>
    <row r="621" ht="15.75" customHeight="1" s="102">
      <c r="C621" s="21" t="n"/>
    </row>
    <row r="622" ht="15.75" customHeight="1" s="102">
      <c r="C622" s="21" t="n"/>
    </row>
    <row r="623" ht="15.75" customHeight="1" s="102">
      <c r="C623" s="21" t="n"/>
    </row>
    <row r="624" ht="15.75" customHeight="1" s="102">
      <c r="C624" s="21" t="n"/>
    </row>
    <row r="625" ht="15.75" customHeight="1" s="102">
      <c r="C625" s="21" t="n"/>
    </row>
    <row r="626" ht="15.75" customHeight="1" s="102">
      <c r="C626" s="21" t="n"/>
    </row>
    <row r="627" ht="15.75" customHeight="1" s="102">
      <c r="C627" s="21" t="n"/>
    </row>
    <row r="628" ht="15.75" customHeight="1" s="102">
      <c r="C628" s="21" t="n"/>
    </row>
    <row r="629" ht="15.75" customHeight="1" s="102">
      <c r="C629" s="21" t="n"/>
    </row>
    <row r="630" ht="15.75" customHeight="1" s="102">
      <c r="C630" s="21" t="n"/>
    </row>
    <row r="631" ht="15.75" customHeight="1" s="102">
      <c r="C631" s="21" t="n"/>
    </row>
    <row r="632" ht="15.75" customHeight="1" s="102">
      <c r="C632" s="21" t="n"/>
    </row>
    <row r="633" ht="15.75" customHeight="1" s="102">
      <c r="C633" s="21" t="n"/>
    </row>
    <row r="634" ht="15.75" customHeight="1" s="102">
      <c r="C634" s="21" t="n"/>
    </row>
    <row r="635" ht="15.75" customHeight="1" s="102">
      <c r="C635" s="21" t="n"/>
    </row>
    <row r="636" ht="15.75" customHeight="1" s="102">
      <c r="C636" s="21" t="n"/>
    </row>
    <row r="637" ht="15.75" customHeight="1" s="102">
      <c r="C637" s="21" t="n"/>
    </row>
    <row r="638" ht="15.75" customHeight="1" s="102">
      <c r="C638" s="21" t="n"/>
    </row>
    <row r="639" ht="15.75" customHeight="1" s="102">
      <c r="C639" s="21" t="n"/>
    </row>
    <row r="640" ht="15.75" customHeight="1" s="102">
      <c r="C640" s="21" t="n"/>
    </row>
    <row r="641" ht="15.75" customHeight="1" s="102">
      <c r="C641" s="21" t="n"/>
    </row>
    <row r="642" ht="15.75" customHeight="1" s="102">
      <c r="C642" s="21" t="n"/>
    </row>
    <row r="643" ht="15.75" customHeight="1" s="102">
      <c r="C643" s="21" t="n"/>
    </row>
    <row r="644" ht="15.75" customHeight="1" s="102">
      <c r="C644" s="21" t="n"/>
    </row>
    <row r="645" ht="15.75" customHeight="1" s="102">
      <c r="C645" s="21" t="n"/>
    </row>
    <row r="646" ht="15.75" customHeight="1" s="102">
      <c r="C646" s="21" t="n"/>
    </row>
    <row r="647" ht="15.75" customHeight="1" s="102">
      <c r="C647" s="21" t="n"/>
    </row>
    <row r="648" ht="15.75" customHeight="1" s="102">
      <c r="C648" s="21" t="n"/>
    </row>
    <row r="649" ht="15.75" customHeight="1" s="102">
      <c r="C649" s="21" t="n"/>
    </row>
    <row r="650" ht="15.75" customHeight="1" s="102">
      <c r="C650" s="21" t="n"/>
    </row>
    <row r="651" ht="15.75" customHeight="1" s="102">
      <c r="C651" s="21" t="n"/>
    </row>
    <row r="652" ht="15.75" customHeight="1" s="102">
      <c r="C652" s="21" t="n"/>
    </row>
    <row r="653" ht="15.75" customHeight="1" s="102">
      <c r="C653" s="21" t="n"/>
    </row>
    <row r="654" ht="15.75" customHeight="1" s="102">
      <c r="C654" s="21" t="n"/>
    </row>
    <row r="655" ht="15.75" customHeight="1" s="102">
      <c r="C655" s="21" t="n"/>
    </row>
    <row r="656" ht="15.75" customHeight="1" s="102">
      <c r="C656" s="21" t="n"/>
    </row>
    <row r="657" ht="15.75" customHeight="1" s="102">
      <c r="C657" s="21" t="n"/>
    </row>
    <row r="658" ht="15.75" customHeight="1" s="102">
      <c r="C658" s="21" t="n"/>
    </row>
    <row r="659" ht="15.75" customHeight="1" s="102">
      <c r="C659" s="21" t="n"/>
    </row>
    <row r="660" ht="15.75" customHeight="1" s="102">
      <c r="C660" s="21" t="n"/>
    </row>
    <row r="661" ht="15.75" customHeight="1" s="102">
      <c r="C661" s="21" t="n"/>
    </row>
    <row r="662" ht="15.75" customHeight="1" s="102">
      <c r="C662" s="21" t="n"/>
    </row>
    <row r="663" ht="15.75" customHeight="1" s="102">
      <c r="C663" s="21" t="n"/>
    </row>
    <row r="664" ht="15.75" customHeight="1" s="102">
      <c r="C664" s="21" t="n"/>
    </row>
    <row r="665" ht="15.75" customHeight="1" s="102">
      <c r="C665" s="21" t="n"/>
    </row>
    <row r="666" ht="15.75" customHeight="1" s="102">
      <c r="C666" s="21" t="n"/>
    </row>
    <row r="667" ht="15.75" customHeight="1" s="102">
      <c r="C667" s="21" t="n"/>
    </row>
    <row r="668" ht="15.75" customHeight="1" s="102">
      <c r="C668" s="21" t="n"/>
    </row>
    <row r="669" ht="15.75" customHeight="1" s="102">
      <c r="C669" s="21" t="n"/>
    </row>
    <row r="670" ht="15.75" customHeight="1" s="102">
      <c r="C670" s="21" t="n"/>
    </row>
    <row r="671" ht="15.75" customHeight="1" s="102">
      <c r="C671" s="21" t="n"/>
    </row>
    <row r="672" ht="15.75" customHeight="1" s="102">
      <c r="C672" s="21" t="n"/>
    </row>
    <row r="673" ht="15.75" customHeight="1" s="102">
      <c r="C673" s="21" t="n"/>
    </row>
    <row r="674" ht="15.75" customHeight="1" s="102">
      <c r="C674" s="21" t="n"/>
    </row>
    <row r="675" ht="15.75" customHeight="1" s="102">
      <c r="C675" s="21" t="n"/>
    </row>
    <row r="676" ht="15.75" customHeight="1" s="102">
      <c r="C676" s="21" t="n"/>
    </row>
    <row r="677" ht="15.75" customHeight="1" s="102">
      <c r="C677" s="21" t="n"/>
    </row>
    <row r="678" ht="15.75" customHeight="1" s="102">
      <c r="C678" s="21" t="n"/>
    </row>
    <row r="679" ht="15.75" customHeight="1" s="102">
      <c r="C679" s="21" t="n"/>
    </row>
    <row r="680" ht="15.75" customHeight="1" s="102">
      <c r="C680" s="21" t="n"/>
    </row>
    <row r="681" ht="15.75" customHeight="1" s="102">
      <c r="C681" s="21" t="n"/>
    </row>
    <row r="682" ht="15.75" customHeight="1" s="102">
      <c r="C682" s="21" t="n"/>
    </row>
    <row r="683" ht="15.75" customHeight="1" s="102">
      <c r="C683" s="21" t="n"/>
    </row>
    <row r="684" ht="15.75" customHeight="1" s="102">
      <c r="C684" s="21" t="n"/>
    </row>
    <row r="685" ht="15.75" customHeight="1" s="102">
      <c r="C685" s="21" t="n"/>
    </row>
    <row r="686" ht="15.75" customHeight="1" s="102">
      <c r="C686" s="21" t="n"/>
    </row>
    <row r="687" ht="15.75" customHeight="1" s="102">
      <c r="C687" s="21" t="n"/>
    </row>
    <row r="688" ht="15.75" customHeight="1" s="102">
      <c r="C688" s="21" t="n"/>
    </row>
    <row r="689" ht="15.75" customHeight="1" s="102">
      <c r="C689" s="21" t="n"/>
    </row>
    <row r="690" ht="15.75" customHeight="1" s="102">
      <c r="C690" s="21" t="n"/>
    </row>
    <row r="691" ht="15.75" customHeight="1" s="102">
      <c r="C691" s="21" t="n"/>
    </row>
    <row r="692" ht="15.75" customHeight="1" s="102">
      <c r="C692" s="21" t="n"/>
    </row>
    <row r="693" ht="15.75" customHeight="1" s="102">
      <c r="C693" s="21" t="n"/>
    </row>
    <row r="694" ht="15.75" customHeight="1" s="102">
      <c r="C694" s="21" t="n"/>
    </row>
    <row r="695" ht="15.75" customHeight="1" s="102">
      <c r="C695" s="21" t="n"/>
    </row>
    <row r="696" ht="15.75" customHeight="1" s="102">
      <c r="C696" s="21" t="n"/>
    </row>
    <row r="697" ht="15.75" customHeight="1" s="102">
      <c r="C697" s="21" t="n"/>
    </row>
    <row r="698" ht="15.75" customHeight="1" s="102">
      <c r="C698" s="21" t="n"/>
    </row>
    <row r="699" ht="15.75" customHeight="1" s="102">
      <c r="C699" s="21" t="n"/>
    </row>
    <row r="700" ht="15.75" customHeight="1" s="102">
      <c r="C700" s="21" t="n"/>
    </row>
    <row r="701" ht="15.75" customHeight="1" s="102">
      <c r="C701" s="21" t="n"/>
    </row>
    <row r="702" ht="15.75" customHeight="1" s="102">
      <c r="C702" s="21" t="n"/>
    </row>
    <row r="703" ht="15.75" customHeight="1" s="102">
      <c r="C703" s="21" t="n"/>
    </row>
    <row r="704" ht="15.75" customHeight="1" s="102">
      <c r="C704" s="21" t="n"/>
    </row>
    <row r="705" ht="15.75" customHeight="1" s="102">
      <c r="C705" s="21" t="n"/>
    </row>
    <row r="706" ht="15.75" customHeight="1" s="102">
      <c r="C706" s="21" t="n"/>
    </row>
    <row r="707" ht="15.75" customHeight="1" s="102">
      <c r="C707" s="21" t="n"/>
    </row>
    <row r="708" ht="15.75" customHeight="1" s="102">
      <c r="C708" s="21" t="n"/>
    </row>
    <row r="709" ht="15.75" customHeight="1" s="102">
      <c r="C709" s="21" t="n"/>
    </row>
    <row r="710" ht="15.75" customHeight="1" s="102">
      <c r="C710" s="21" t="n"/>
    </row>
    <row r="711" ht="15.75" customHeight="1" s="102">
      <c r="C711" s="21" t="n"/>
    </row>
    <row r="712" ht="15.75" customHeight="1" s="102">
      <c r="C712" s="21" t="n"/>
    </row>
    <row r="713" ht="15.75" customHeight="1" s="102">
      <c r="C713" s="21" t="n"/>
    </row>
    <row r="714" ht="15.75" customHeight="1" s="102">
      <c r="C714" s="21" t="n"/>
    </row>
    <row r="715" ht="15.75" customHeight="1" s="102">
      <c r="C715" s="21" t="n"/>
    </row>
    <row r="716" ht="15.75" customHeight="1" s="102">
      <c r="C716" s="21" t="n"/>
    </row>
    <row r="717" ht="15.75" customHeight="1" s="102">
      <c r="C717" s="21" t="n"/>
    </row>
    <row r="718" ht="15.75" customHeight="1" s="102">
      <c r="C718" s="21" t="n"/>
    </row>
    <row r="719" ht="15.75" customHeight="1" s="102">
      <c r="C719" s="21" t="n"/>
    </row>
    <row r="720" ht="15.75" customHeight="1" s="102">
      <c r="C720" s="21" t="n"/>
    </row>
    <row r="721" ht="15.75" customHeight="1" s="102">
      <c r="C721" s="21" t="n"/>
    </row>
    <row r="722" ht="15.75" customHeight="1" s="102">
      <c r="C722" s="21" t="n"/>
    </row>
    <row r="723" ht="15.75" customHeight="1" s="102">
      <c r="C723" s="21" t="n"/>
    </row>
    <row r="724" ht="15.75" customHeight="1" s="102">
      <c r="C724" s="21" t="n"/>
    </row>
    <row r="725" ht="15.75" customHeight="1" s="102">
      <c r="C725" s="21" t="n"/>
    </row>
    <row r="726" ht="15.75" customHeight="1" s="102">
      <c r="C726" s="21" t="n"/>
    </row>
    <row r="727" ht="15.75" customHeight="1" s="102">
      <c r="C727" s="21" t="n"/>
    </row>
    <row r="728" ht="15.75" customHeight="1" s="102">
      <c r="C728" s="21" t="n"/>
    </row>
    <row r="729" ht="15.75" customHeight="1" s="102">
      <c r="C729" s="21" t="n"/>
    </row>
    <row r="730" ht="15.75" customHeight="1" s="102">
      <c r="C730" s="21" t="n"/>
    </row>
    <row r="731" ht="15.75" customHeight="1" s="102">
      <c r="C731" s="21" t="n"/>
    </row>
    <row r="732" ht="15.75" customHeight="1" s="102">
      <c r="C732" s="21" t="n"/>
    </row>
    <row r="733" ht="15.75" customHeight="1" s="102">
      <c r="C733" s="21" t="n"/>
    </row>
    <row r="734" ht="15.75" customHeight="1" s="102">
      <c r="C734" s="21" t="n"/>
    </row>
    <row r="735" ht="15.75" customHeight="1" s="102">
      <c r="C735" s="21" t="n"/>
    </row>
    <row r="736" ht="15.75" customHeight="1" s="102">
      <c r="C736" s="21" t="n"/>
    </row>
    <row r="737" ht="15.75" customHeight="1" s="102">
      <c r="C737" s="21" t="n"/>
    </row>
    <row r="738" ht="15.75" customHeight="1" s="102">
      <c r="C738" s="21" t="n"/>
    </row>
    <row r="739" ht="15.75" customHeight="1" s="102">
      <c r="C739" s="21" t="n"/>
    </row>
    <row r="740" ht="15.75" customHeight="1" s="102">
      <c r="C740" s="21" t="n"/>
    </row>
    <row r="741" ht="15.75" customHeight="1" s="102">
      <c r="C741" s="21" t="n"/>
    </row>
    <row r="742" ht="15.75" customHeight="1" s="102">
      <c r="C742" s="21" t="n"/>
    </row>
    <row r="743" ht="15.75" customHeight="1" s="102">
      <c r="C743" s="21" t="n"/>
    </row>
    <row r="744" ht="15.75" customHeight="1" s="102">
      <c r="C744" s="21" t="n"/>
    </row>
    <row r="745" ht="15.75" customHeight="1" s="102">
      <c r="C745" s="21" t="n"/>
    </row>
    <row r="746" ht="15.75" customHeight="1" s="102">
      <c r="C746" s="21" t="n"/>
    </row>
    <row r="747" ht="15.75" customHeight="1" s="102">
      <c r="C747" s="21" t="n"/>
    </row>
    <row r="748" ht="15.75" customHeight="1" s="102">
      <c r="C748" s="21" t="n"/>
    </row>
    <row r="749" ht="15.75" customHeight="1" s="102">
      <c r="C749" s="21" t="n"/>
    </row>
    <row r="750" ht="15.75" customHeight="1" s="102">
      <c r="C750" s="21" t="n"/>
    </row>
    <row r="751" ht="15.75" customHeight="1" s="102">
      <c r="C751" s="21" t="n"/>
    </row>
    <row r="752" ht="15.75" customHeight="1" s="102">
      <c r="C752" s="21" t="n"/>
    </row>
    <row r="753" ht="15.75" customHeight="1" s="102">
      <c r="C753" s="21" t="n"/>
    </row>
    <row r="754" ht="15.75" customHeight="1" s="102">
      <c r="C754" s="21" t="n"/>
    </row>
    <row r="755" ht="15.75" customHeight="1" s="102">
      <c r="C755" s="21" t="n"/>
    </row>
    <row r="756" ht="15.75" customHeight="1" s="102">
      <c r="C756" s="21" t="n"/>
    </row>
    <row r="757" ht="15.75" customHeight="1" s="102">
      <c r="C757" s="21" t="n"/>
    </row>
    <row r="758" ht="15.75" customHeight="1" s="102">
      <c r="C758" s="21" t="n"/>
    </row>
    <row r="759" ht="15.75" customHeight="1" s="102">
      <c r="C759" s="21" t="n"/>
    </row>
    <row r="760" ht="15.75" customHeight="1" s="102">
      <c r="C760" s="21" t="n"/>
    </row>
    <row r="761" ht="15.75" customHeight="1" s="102">
      <c r="C761" s="21" t="n"/>
    </row>
    <row r="762" ht="15.75" customHeight="1" s="102">
      <c r="C762" s="21" t="n"/>
    </row>
    <row r="763" ht="15.75" customHeight="1" s="102">
      <c r="C763" s="21" t="n"/>
    </row>
    <row r="764" ht="15.75" customHeight="1" s="102">
      <c r="C764" s="21" t="n"/>
    </row>
    <row r="765" ht="15.75" customHeight="1" s="102">
      <c r="C765" s="21" t="n"/>
    </row>
    <row r="766" ht="15.75" customHeight="1" s="102">
      <c r="C766" s="21" t="n"/>
    </row>
    <row r="767" ht="15.75" customHeight="1" s="102">
      <c r="C767" s="21" t="n"/>
    </row>
    <row r="768" ht="15.75" customHeight="1" s="102">
      <c r="C768" s="21" t="n"/>
    </row>
    <row r="769" ht="15.75" customHeight="1" s="102">
      <c r="C769" s="21" t="n"/>
    </row>
    <row r="770" ht="15.75" customHeight="1" s="102">
      <c r="C770" s="21" t="n"/>
    </row>
    <row r="771" ht="15.75" customHeight="1" s="102">
      <c r="C771" s="21" t="n"/>
    </row>
    <row r="772" ht="15.75" customHeight="1" s="102">
      <c r="C772" s="21" t="n"/>
    </row>
    <row r="773" ht="15.75" customHeight="1" s="102">
      <c r="C773" s="21" t="n"/>
    </row>
    <row r="774" ht="15.75" customHeight="1" s="102">
      <c r="C774" s="21" t="n"/>
    </row>
    <row r="775" ht="15.75" customHeight="1" s="102">
      <c r="C775" s="21" t="n"/>
    </row>
    <row r="776" ht="15.75" customHeight="1" s="102">
      <c r="C776" s="21" t="n"/>
    </row>
    <row r="777" ht="15.75" customHeight="1" s="102">
      <c r="C777" s="21" t="n"/>
    </row>
    <row r="778" ht="15.75" customHeight="1" s="102">
      <c r="C778" s="21" t="n"/>
    </row>
    <row r="779" ht="15.75" customHeight="1" s="102">
      <c r="C779" s="21" t="n"/>
    </row>
    <row r="780" ht="15.75" customHeight="1" s="102">
      <c r="C780" s="21" t="n"/>
    </row>
    <row r="781" ht="15.75" customHeight="1" s="102">
      <c r="C781" s="21" t="n"/>
    </row>
    <row r="782" ht="15.75" customHeight="1" s="102">
      <c r="C782" s="21" t="n"/>
    </row>
    <row r="783" ht="15.75" customHeight="1" s="102">
      <c r="C783" s="21" t="n"/>
    </row>
    <row r="784" ht="15.75" customHeight="1" s="102">
      <c r="C784" s="21" t="n"/>
    </row>
    <row r="785" ht="15.75" customHeight="1" s="102">
      <c r="C785" s="21" t="n"/>
    </row>
    <row r="786" ht="15.75" customHeight="1" s="102">
      <c r="C786" s="21" t="n"/>
    </row>
    <row r="787" ht="15.75" customHeight="1" s="102">
      <c r="C787" s="21" t="n"/>
    </row>
    <row r="788" ht="15.75" customHeight="1" s="102">
      <c r="C788" s="21" t="n"/>
    </row>
    <row r="789" ht="15.75" customHeight="1" s="102">
      <c r="C789" s="21" t="n"/>
    </row>
    <row r="790" ht="15.75" customHeight="1" s="102">
      <c r="C790" s="21" t="n"/>
    </row>
    <row r="791" ht="15.75" customHeight="1" s="102">
      <c r="C791" s="21" t="n"/>
    </row>
    <row r="792" ht="15.75" customHeight="1" s="102">
      <c r="C792" s="21" t="n"/>
    </row>
    <row r="793" ht="15.75" customHeight="1" s="102">
      <c r="C793" s="21" t="n"/>
    </row>
    <row r="794" ht="15.75" customHeight="1" s="102">
      <c r="C794" s="21" t="n"/>
    </row>
    <row r="795" ht="15.75" customHeight="1" s="102">
      <c r="C795" s="21" t="n"/>
    </row>
    <row r="796" ht="15.75" customHeight="1" s="102">
      <c r="C796" s="21" t="n"/>
    </row>
    <row r="797" ht="15.75" customHeight="1" s="102">
      <c r="C797" s="21" t="n"/>
    </row>
    <row r="798" ht="15.75" customHeight="1" s="102">
      <c r="C798" s="21" t="n"/>
    </row>
    <row r="799" ht="15.75" customHeight="1" s="102">
      <c r="C799" s="21" t="n"/>
    </row>
    <row r="800" ht="15.75" customHeight="1" s="102">
      <c r="C800" s="21" t="n"/>
    </row>
    <row r="801" ht="15.75" customHeight="1" s="102">
      <c r="C801" s="21" t="n"/>
    </row>
    <row r="802" ht="15.75" customHeight="1" s="102">
      <c r="C802" s="21" t="n"/>
    </row>
    <row r="803" ht="15.75" customHeight="1" s="102">
      <c r="C803" s="21" t="n"/>
    </row>
    <row r="804" ht="15.75" customHeight="1" s="102">
      <c r="C804" s="21" t="n"/>
    </row>
    <row r="805" ht="15.75" customHeight="1" s="102">
      <c r="C805" s="21" t="n"/>
    </row>
    <row r="806" ht="15.75" customHeight="1" s="102">
      <c r="C806" s="21" t="n"/>
    </row>
    <row r="807" ht="15.75" customHeight="1" s="102">
      <c r="C807" s="21" t="n"/>
    </row>
    <row r="808" ht="15.75" customHeight="1" s="102">
      <c r="C808" s="21" t="n"/>
    </row>
    <row r="809" ht="15.75" customHeight="1" s="102">
      <c r="C809" s="21" t="n"/>
    </row>
    <row r="810" ht="15.75" customHeight="1" s="102">
      <c r="C810" s="21" t="n"/>
    </row>
    <row r="811" ht="15.75" customHeight="1" s="102">
      <c r="C811" s="21" t="n"/>
    </row>
    <row r="812" ht="15.75" customHeight="1" s="102">
      <c r="C812" s="21" t="n"/>
    </row>
    <row r="813" ht="15.75" customHeight="1" s="102">
      <c r="C813" s="21" t="n"/>
    </row>
    <row r="814" ht="15.75" customHeight="1" s="102">
      <c r="C814" s="21" t="n"/>
    </row>
    <row r="815" ht="15.75" customHeight="1" s="102">
      <c r="C815" s="21" t="n"/>
    </row>
    <row r="816" ht="15.75" customHeight="1" s="102">
      <c r="C816" s="21" t="n"/>
    </row>
    <row r="817" ht="15.75" customHeight="1" s="102">
      <c r="C817" s="21" t="n"/>
    </row>
    <row r="818" ht="15.75" customHeight="1" s="102">
      <c r="C818" s="21" t="n"/>
    </row>
    <row r="819" ht="15.75" customHeight="1" s="102">
      <c r="C819" s="21" t="n"/>
    </row>
    <row r="820" ht="15.75" customHeight="1" s="102">
      <c r="C820" s="21" t="n"/>
    </row>
    <row r="821" ht="15.75" customHeight="1" s="102">
      <c r="C821" s="21" t="n"/>
    </row>
    <row r="822" ht="15.75" customHeight="1" s="102">
      <c r="C822" s="21" t="n"/>
    </row>
    <row r="823" ht="15.75" customHeight="1" s="102">
      <c r="C823" s="21" t="n"/>
    </row>
    <row r="824" ht="15.75" customHeight="1" s="102">
      <c r="C824" s="21" t="n"/>
    </row>
    <row r="825" ht="15.75" customHeight="1" s="102">
      <c r="C825" s="21" t="n"/>
    </row>
    <row r="826" ht="15.75" customHeight="1" s="102">
      <c r="C826" s="21" t="n"/>
    </row>
    <row r="827" ht="15.75" customHeight="1" s="102">
      <c r="C827" s="21" t="n"/>
    </row>
    <row r="828" ht="15.75" customHeight="1" s="102">
      <c r="C828" s="21" t="n"/>
    </row>
    <row r="829" ht="15.75" customHeight="1" s="102">
      <c r="C829" s="21" t="n"/>
    </row>
    <row r="830" ht="15.75" customHeight="1" s="102">
      <c r="C830" s="21" t="n"/>
    </row>
    <row r="831" ht="15.75" customHeight="1" s="102">
      <c r="C831" s="21" t="n"/>
    </row>
    <row r="832" ht="15.75" customHeight="1" s="102">
      <c r="C832" s="21" t="n"/>
    </row>
    <row r="833" ht="15.75" customHeight="1" s="102">
      <c r="C833" s="21" t="n"/>
    </row>
    <row r="834" ht="15.75" customHeight="1" s="102">
      <c r="C834" s="21" t="n"/>
    </row>
    <row r="835" ht="15.75" customHeight="1" s="102">
      <c r="C835" s="21" t="n"/>
    </row>
    <row r="836" ht="15.75" customHeight="1" s="102">
      <c r="C836" s="21" t="n"/>
    </row>
    <row r="837" ht="15.75" customHeight="1" s="102">
      <c r="C837" s="21" t="n"/>
    </row>
    <row r="838" ht="15.75" customHeight="1" s="102">
      <c r="C838" s="21" t="n"/>
    </row>
    <row r="839" ht="15.75" customHeight="1" s="102">
      <c r="C839" s="21" t="n"/>
    </row>
    <row r="840" ht="15.75" customHeight="1" s="102">
      <c r="C840" s="21" t="n"/>
    </row>
    <row r="841" ht="15.75" customHeight="1" s="102">
      <c r="C841" s="21" t="n"/>
    </row>
    <row r="842" ht="15.75" customHeight="1" s="102">
      <c r="C842" s="21" t="n"/>
    </row>
    <row r="843" ht="15.75" customHeight="1" s="102">
      <c r="C843" s="21" t="n"/>
    </row>
    <row r="844" ht="15.75" customHeight="1" s="102">
      <c r="C844" s="21" t="n"/>
    </row>
    <row r="845" ht="15.75" customHeight="1" s="102">
      <c r="C845" s="21" t="n"/>
    </row>
    <row r="846" ht="15.75" customHeight="1" s="102">
      <c r="C846" s="21" t="n"/>
    </row>
    <row r="847" ht="15.75" customHeight="1" s="102">
      <c r="C847" s="21" t="n"/>
    </row>
    <row r="848" ht="15.75" customHeight="1" s="102">
      <c r="C848" s="21" t="n"/>
    </row>
    <row r="849" ht="15.75" customHeight="1" s="102">
      <c r="C849" s="21" t="n"/>
    </row>
    <row r="850" ht="15.75" customHeight="1" s="102">
      <c r="C850" s="21" t="n"/>
    </row>
    <row r="851" ht="15.75" customHeight="1" s="102">
      <c r="C851" s="21" t="n"/>
    </row>
    <row r="852" ht="15.75" customHeight="1" s="102">
      <c r="C852" s="21" t="n"/>
    </row>
    <row r="853" ht="15.75" customHeight="1" s="102">
      <c r="C853" s="21" t="n"/>
    </row>
    <row r="854" ht="15.75" customHeight="1" s="102">
      <c r="C854" s="21" t="n"/>
    </row>
    <row r="855" ht="15.75" customHeight="1" s="102">
      <c r="C855" s="21" t="n"/>
    </row>
    <row r="856" ht="15.75" customHeight="1" s="102">
      <c r="C856" s="21" t="n"/>
    </row>
    <row r="857" ht="15.75" customHeight="1" s="102">
      <c r="C857" s="21" t="n"/>
    </row>
    <row r="858" ht="15.75" customHeight="1" s="102">
      <c r="C858" s="21" t="n"/>
    </row>
    <row r="859" ht="15.75" customHeight="1" s="102">
      <c r="C859" s="21" t="n"/>
    </row>
    <row r="860" ht="15.75" customHeight="1" s="102">
      <c r="C860" s="21" t="n"/>
    </row>
    <row r="861" ht="15.75" customHeight="1" s="102">
      <c r="C861" s="21" t="n"/>
    </row>
    <row r="862" ht="15.75" customHeight="1" s="102">
      <c r="C862" s="21" t="n"/>
    </row>
    <row r="863" ht="15.75" customHeight="1" s="102">
      <c r="C863" s="21" t="n"/>
    </row>
    <row r="864" ht="15.75" customHeight="1" s="102">
      <c r="C864" s="21" t="n"/>
    </row>
    <row r="865" ht="15.75" customHeight="1" s="102">
      <c r="C865" s="21" t="n"/>
    </row>
    <row r="866" ht="15.75" customHeight="1" s="102">
      <c r="C866" s="21" t="n"/>
    </row>
    <row r="867" ht="15.75" customHeight="1" s="102">
      <c r="C867" s="21" t="n"/>
    </row>
    <row r="868" ht="15.75" customHeight="1" s="102">
      <c r="C868" s="21" t="n"/>
    </row>
    <row r="869" ht="15.75" customHeight="1" s="102">
      <c r="C869" s="21" t="n"/>
    </row>
    <row r="870" ht="15.75" customHeight="1" s="102">
      <c r="C870" s="21" t="n"/>
    </row>
    <row r="871" ht="15.75" customHeight="1" s="102">
      <c r="C871" s="21" t="n"/>
    </row>
    <row r="872" ht="15.75" customHeight="1" s="102">
      <c r="C872" s="21" t="n"/>
    </row>
    <row r="873" ht="15.75" customHeight="1" s="102">
      <c r="C873" s="21" t="n"/>
    </row>
    <row r="874" ht="15.75" customHeight="1" s="102">
      <c r="C874" s="21" t="n"/>
    </row>
    <row r="875" ht="15.75" customHeight="1" s="102">
      <c r="C875" s="21" t="n"/>
    </row>
    <row r="876" ht="15.75" customHeight="1" s="102">
      <c r="C876" s="21" t="n"/>
    </row>
    <row r="877" ht="15.75" customHeight="1" s="102">
      <c r="C877" s="21" t="n"/>
    </row>
    <row r="878" ht="15.75" customHeight="1" s="102">
      <c r="C878" s="21" t="n"/>
    </row>
    <row r="879" ht="15.75" customHeight="1" s="102">
      <c r="C879" s="21" t="n"/>
    </row>
    <row r="880" ht="15.75" customHeight="1" s="102">
      <c r="C880" s="21" t="n"/>
    </row>
    <row r="881" ht="15.75" customHeight="1" s="102">
      <c r="C881" s="21" t="n"/>
    </row>
    <row r="882" ht="15.75" customHeight="1" s="102">
      <c r="C882" s="21" t="n"/>
    </row>
    <row r="883" ht="15.75" customHeight="1" s="102">
      <c r="C883" s="21" t="n"/>
    </row>
    <row r="884" ht="15.75" customHeight="1" s="102">
      <c r="C884" s="21" t="n"/>
    </row>
    <row r="885" ht="15.75" customHeight="1" s="102">
      <c r="C885" s="21" t="n"/>
    </row>
    <row r="886" ht="15.75" customHeight="1" s="102">
      <c r="C886" s="21" t="n"/>
    </row>
    <row r="887" ht="15.75" customHeight="1" s="102">
      <c r="C887" s="21" t="n"/>
    </row>
    <row r="888" ht="15.75" customHeight="1" s="102">
      <c r="C888" s="21" t="n"/>
    </row>
    <row r="889" ht="15.75" customHeight="1" s="102">
      <c r="C889" s="21" t="n"/>
    </row>
    <row r="890" ht="15.75" customHeight="1" s="102">
      <c r="C890" s="21" t="n"/>
    </row>
    <row r="891" ht="15.75" customHeight="1" s="102">
      <c r="C891" s="21" t="n"/>
    </row>
    <row r="892" ht="15.75" customHeight="1" s="102">
      <c r="C892" s="21" t="n"/>
    </row>
    <row r="893" ht="15.75" customHeight="1" s="102">
      <c r="C893" s="21" t="n"/>
    </row>
    <row r="894" ht="15.75" customHeight="1" s="102">
      <c r="C894" s="21" t="n"/>
    </row>
    <row r="895" ht="15.75" customHeight="1" s="102">
      <c r="C895" s="21" t="n"/>
    </row>
    <row r="896" ht="15.75" customHeight="1" s="102">
      <c r="C896" s="21" t="n"/>
    </row>
    <row r="897" ht="15.75" customHeight="1" s="102">
      <c r="C897" s="21" t="n"/>
    </row>
    <row r="898" ht="15.75" customHeight="1" s="102">
      <c r="C898" s="21" t="n"/>
    </row>
    <row r="899" ht="15.75" customHeight="1" s="102">
      <c r="C899" s="21" t="n"/>
    </row>
    <row r="900" ht="15.75" customHeight="1" s="102">
      <c r="C900" s="21" t="n"/>
    </row>
    <row r="901" ht="15.75" customHeight="1" s="102">
      <c r="C901" s="21" t="n"/>
    </row>
    <row r="902" ht="15.75" customHeight="1" s="102">
      <c r="C902" s="21" t="n"/>
    </row>
    <row r="903" ht="15.75" customHeight="1" s="102">
      <c r="C903" s="21" t="n"/>
    </row>
    <row r="904" ht="15.75" customHeight="1" s="102">
      <c r="C904" s="21" t="n"/>
    </row>
    <row r="905" ht="15.75" customHeight="1" s="102">
      <c r="C905" s="21" t="n"/>
    </row>
    <row r="906" ht="15.75" customHeight="1" s="102">
      <c r="C906" s="21" t="n"/>
    </row>
    <row r="907" ht="15.75" customHeight="1" s="102">
      <c r="C907" s="21" t="n"/>
    </row>
    <row r="908" ht="15.75" customHeight="1" s="102">
      <c r="C908" s="21" t="n"/>
    </row>
    <row r="909" ht="15.75" customHeight="1" s="102">
      <c r="C909" s="21" t="n"/>
    </row>
    <row r="910" ht="15.75" customHeight="1" s="102">
      <c r="C910" s="21" t="n"/>
    </row>
    <row r="911" ht="15.75" customHeight="1" s="102">
      <c r="C911" s="21" t="n"/>
    </row>
    <row r="912" ht="15.75" customHeight="1" s="102">
      <c r="C912" s="21" t="n"/>
    </row>
    <row r="913" ht="15.75" customHeight="1" s="102">
      <c r="C913" s="21" t="n"/>
    </row>
    <row r="914" ht="15.75" customHeight="1" s="102">
      <c r="C914" s="21" t="n"/>
    </row>
    <row r="915" ht="15.75" customHeight="1" s="102">
      <c r="C915" s="21" t="n"/>
    </row>
    <row r="916" ht="15.75" customHeight="1" s="102">
      <c r="C916" s="21" t="n"/>
    </row>
    <row r="917" ht="15.75" customHeight="1" s="102">
      <c r="C917" s="21" t="n"/>
    </row>
    <row r="918" ht="15.75" customHeight="1" s="102">
      <c r="C918" s="21" t="n"/>
    </row>
    <row r="919" ht="15.75" customHeight="1" s="102">
      <c r="C919" s="21" t="n"/>
    </row>
    <row r="920" ht="15.75" customHeight="1" s="102">
      <c r="C920" s="21" t="n"/>
    </row>
    <row r="921" ht="15.75" customHeight="1" s="102">
      <c r="C921" s="21" t="n"/>
    </row>
    <row r="922" ht="15.75" customHeight="1" s="102">
      <c r="C922" s="21" t="n"/>
    </row>
    <row r="923" ht="15.75" customHeight="1" s="102">
      <c r="C923" s="21" t="n"/>
    </row>
    <row r="924" ht="15.75" customHeight="1" s="102">
      <c r="C924" s="21" t="n"/>
    </row>
    <row r="925" ht="15.75" customHeight="1" s="102">
      <c r="C925" s="21" t="n"/>
    </row>
    <row r="926" ht="15.75" customHeight="1" s="102">
      <c r="C926" s="21" t="n"/>
    </row>
    <row r="927" ht="15.75" customHeight="1" s="102">
      <c r="C927" s="21" t="n"/>
    </row>
    <row r="928" ht="15.75" customHeight="1" s="102">
      <c r="C928" s="21" t="n"/>
    </row>
    <row r="929" ht="15.75" customHeight="1" s="102">
      <c r="C929" s="21" t="n"/>
    </row>
    <row r="930" ht="15.75" customHeight="1" s="102">
      <c r="C930" s="21" t="n"/>
    </row>
    <row r="931" ht="15.75" customHeight="1" s="102">
      <c r="C931" s="21" t="n"/>
    </row>
    <row r="932" ht="15.75" customHeight="1" s="102">
      <c r="C932" s="21" t="n"/>
    </row>
    <row r="933" ht="15.75" customHeight="1" s="102">
      <c r="C933" s="21" t="n"/>
    </row>
    <row r="934" ht="15.75" customHeight="1" s="102">
      <c r="C934" s="21" t="n"/>
    </row>
    <row r="935" ht="15.75" customHeight="1" s="102">
      <c r="C935" s="21" t="n"/>
    </row>
    <row r="936" ht="15.75" customHeight="1" s="102">
      <c r="C936" s="21" t="n"/>
    </row>
    <row r="937" ht="15.75" customHeight="1" s="102">
      <c r="C937" s="21" t="n"/>
    </row>
    <row r="938" ht="15.75" customHeight="1" s="102">
      <c r="C938" s="21" t="n"/>
    </row>
    <row r="939" ht="15.75" customHeight="1" s="102">
      <c r="C939" s="21" t="n"/>
    </row>
    <row r="940" ht="15.75" customHeight="1" s="102">
      <c r="C940" s="21" t="n"/>
    </row>
    <row r="941" ht="15.75" customHeight="1" s="102">
      <c r="C941" s="21" t="n"/>
    </row>
    <row r="942" ht="15.75" customHeight="1" s="102">
      <c r="C942" s="21" t="n"/>
    </row>
    <row r="943" ht="15.75" customHeight="1" s="102">
      <c r="C943" s="21" t="n"/>
    </row>
    <row r="944" ht="15.75" customHeight="1" s="102">
      <c r="C944" s="21" t="n"/>
    </row>
    <row r="945" ht="15.75" customHeight="1" s="102">
      <c r="C945" s="21" t="n"/>
    </row>
    <row r="946" ht="15.75" customHeight="1" s="102">
      <c r="C946" s="21" t="n"/>
    </row>
    <row r="947" ht="15.75" customHeight="1" s="102">
      <c r="C947" s="21" t="n"/>
    </row>
    <row r="948" ht="15.75" customHeight="1" s="102">
      <c r="C948" s="21" t="n"/>
    </row>
    <row r="949" ht="15.75" customHeight="1" s="102">
      <c r="C949" s="21" t="n"/>
    </row>
    <row r="950" ht="15.75" customHeight="1" s="102">
      <c r="C950" s="21" t="n"/>
    </row>
    <row r="951" ht="15.75" customHeight="1" s="102">
      <c r="C951" s="21" t="n"/>
    </row>
    <row r="952" ht="15.75" customHeight="1" s="102">
      <c r="C952" s="21" t="n"/>
    </row>
    <row r="953" ht="15.75" customHeight="1" s="102">
      <c r="C953" s="21" t="n"/>
    </row>
    <row r="954" ht="15.75" customHeight="1" s="102">
      <c r="C954" s="21" t="n"/>
    </row>
    <row r="955" ht="15.75" customHeight="1" s="102">
      <c r="C955" s="21" t="n"/>
    </row>
    <row r="956" ht="15.75" customHeight="1" s="102">
      <c r="C956" s="21" t="n"/>
    </row>
    <row r="957" ht="15.75" customHeight="1" s="102">
      <c r="C957" s="21" t="n"/>
    </row>
    <row r="958" ht="15.75" customHeight="1" s="102">
      <c r="C958" s="21" t="n"/>
    </row>
    <row r="959" ht="15.75" customHeight="1" s="102">
      <c r="C959" s="21" t="n"/>
    </row>
    <row r="960" ht="15.75" customHeight="1" s="102">
      <c r="C960" s="21" t="n"/>
    </row>
    <row r="961" ht="15.75" customHeight="1" s="102">
      <c r="C961" s="21" t="n"/>
    </row>
    <row r="962" ht="15.75" customHeight="1" s="102">
      <c r="C962" s="21" t="n"/>
    </row>
    <row r="963" ht="15.75" customHeight="1" s="102">
      <c r="C963" s="21" t="n"/>
    </row>
    <row r="964" ht="15.75" customHeight="1" s="102">
      <c r="C964" s="21" t="n"/>
    </row>
    <row r="965" ht="15.75" customHeight="1" s="102">
      <c r="C965" s="21" t="n"/>
    </row>
    <row r="966" ht="15.75" customHeight="1" s="102">
      <c r="C966" s="21" t="n"/>
    </row>
    <row r="967" ht="15.75" customHeight="1" s="102">
      <c r="C967" s="21" t="n"/>
    </row>
    <row r="968" ht="15.75" customHeight="1" s="102">
      <c r="C968" s="21" t="n"/>
    </row>
    <row r="969" ht="15.75" customHeight="1" s="102">
      <c r="C969" s="21" t="n"/>
    </row>
    <row r="970" ht="15.75" customHeight="1" s="102">
      <c r="C970" s="21" t="n"/>
    </row>
    <row r="971" ht="15.75" customHeight="1" s="102">
      <c r="C971" s="21" t="n"/>
    </row>
    <row r="972" ht="15.75" customHeight="1" s="102">
      <c r="C972" s="21" t="n"/>
    </row>
    <row r="973" ht="15.75" customHeight="1" s="102">
      <c r="C973" s="21" t="n"/>
    </row>
    <row r="974" ht="15.75" customHeight="1" s="102">
      <c r="C974" s="21" t="n"/>
    </row>
    <row r="975" ht="15.75" customHeight="1" s="102">
      <c r="C975" s="21" t="n"/>
    </row>
    <row r="976" ht="15.75" customHeight="1" s="102">
      <c r="C976" s="21" t="n"/>
    </row>
    <row r="977" ht="15.75" customHeight="1" s="102">
      <c r="C977" s="21" t="n"/>
    </row>
    <row r="978" ht="15.75" customHeight="1" s="102">
      <c r="C978" s="21" t="n"/>
    </row>
    <row r="979" ht="15.75" customHeight="1" s="102">
      <c r="C979" s="21" t="n"/>
    </row>
    <row r="980" ht="15.75" customHeight="1" s="102">
      <c r="C980" s="21" t="n"/>
    </row>
    <row r="981" ht="15.75" customHeight="1" s="102">
      <c r="C981" s="21" t="n"/>
    </row>
    <row r="982" ht="15.75" customHeight="1" s="102">
      <c r="C982" s="21" t="n"/>
    </row>
    <row r="983" ht="15.75" customHeight="1" s="102">
      <c r="C983" s="21" t="n"/>
    </row>
    <row r="984" ht="15.75" customHeight="1" s="102">
      <c r="C984" s="21" t="n"/>
    </row>
    <row r="985" ht="15.75" customHeight="1" s="102">
      <c r="C985" s="21" t="n"/>
    </row>
    <row r="986" ht="15.75" customHeight="1" s="102">
      <c r="C986" s="21" t="n"/>
    </row>
    <row r="987" ht="15.75" customHeight="1" s="102">
      <c r="C987" s="21" t="n"/>
    </row>
    <row r="988" ht="15.75" customHeight="1" s="102">
      <c r="C988" s="21" t="n"/>
    </row>
    <row r="989" ht="15.75" customHeight="1" s="102">
      <c r="C989" s="21" t="n"/>
    </row>
    <row r="990" ht="15.75" customHeight="1" s="102">
      <c r="C990" s="21" t="n"/>
    </row>
    <row r="991" ht="15.75" customHeight="1" s="102">
      <c r="C991" s="21" t="n"/>
    </row>
    <row r="992" ht="15.75" customHeight="1" s="102">
      <c r="C992" s="21" t="n"/>
    </row>
    <row r="993" ht="15.75" customHeight="1" s="102">
      <c r="C993" s="21" t="n"/>
    </row>
    <row r="994" ht="15.75" customHeight="1" s="102">
      <c r="C994" s="21" t="n"/>
    </row>
    <row r="995" ht="15.75" customHeight="1" s="102">
      <c r="C995" s="21" t="n"/>
    </row>
    <row r="996" ht="15.75" customHeight="1" s="102">
      <c r="C996" s="21" t="n"/>
    </row>
    <row r="997" ht="15.75" customHeight="1" s="102">
      <c r="C997" s="21" t="n"/>
    </row>
  </sheetData>
  <mergeCells count="1">
    <mergeCell ref="B1:M1"/>
  </mergeCells>
  <hyperlinks>
    <hyperlink xmlns:r="http://schemas.openxmlformats.org/officeDocument/2006/relationships" ref="R21" r:id="rId1"/>
    <hyperlink xmlns:r="http://schemas.openxmlformats.org/officeDocument/2006/relationships" ref="R33" r:id="rId2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102" min="1" max="1"/>
    <col width="11" customWidth="1" style="102" min="2" max="2"/>
    <col width="12.109375" customWidth="1" style="102" min="3" max="3"/>
    <col width="41" customWidth="1" style="102" min="4" max="4"/>
    <col width="35.33203125" customWidth="1" style="102" min="5" max="5"/>
    <col width="24.6640625" customWidth="1" style="102" min="6" max="6"/>
    <col width="15" customWidth="1" style="102" min="7" max="7"/>
    <col width="43.88671875" customWidth="1" style="102" min="8" max="8"/>
    <col width="8.6640625" customWidth="1" style="102" min="9" max="16"/>
  </cols>
  <sheetData>
    <row r="1" ht="14.4" customHeight="1" s="102">
      <c r="A1" s="44" t="inlineStr">
        <is>
          <t>Audit</t>
        </is>
      </c>
      <c r="B1" s="68" t="inlineStr">
        <is>
          <t>Expiration</t>
        </is>
      </c>
      <c r="C1" s="69" t="inlineStr">
        <is>
          <t>MLS#</t>
        </is>
      </c>
      <c r="D1" s="69" t="inlineStr">
        <is>
          <t>Subject Property</t>
        </is>
      </c>
      <c r="E1" s="68" t="inlineStr">
        <is>
          <t>Address1</t>
        </is>
      </c>
      <c r="F1" s="70" t="inlineStr">
        <is>
          <t>Address2</t>
        </is>
      </c>
      <c r="G1" s="69" t="inlineStr">
        <is>
          <t>Price</t>
        </is>
      </c>
      <c r="H1" s="69" t="inlineStr">
        <is>
          <t>Name</t>
        </is>
      </c>
      <c r="I1" s="71" t="inlineStr">
        <is>
          <t>Occupancy</t>
        </is>
      </c>
      <c r="J1" s="70" t="inlineStr">
        <is>
          <t>Title</t>
        </is>
      </c>
      <c r="K1" s="44" t="inlineStr">
        <is>
          <t>Notes</t>
        </is>
      </c>
      <c r="L1" s="101" t="inlineStr">
        <is>
          <t>Rating</t>
        </is>
      </c>
      <c r="M1" s="101" t="inlineStr">
        <is>
          <t>Flyer</t>
        </is>
      </c>
      <c r="N1" s="44" t="inlineStr">
        <is>
          <t>Contact</t>
        </is>
      </c>
      <c r="O1" s="44" t="inlineStr">
        <is>
          <t>Mobile</t>
        </is>
      </c>
      <c r="P1" s="44" t="inlineStr">
        <is>
          <t>Email</t>
        </is>
      </c>
    </row>
    <row r="2" ht="14.4" customHeight="1" s="102">
      <c r="A2" s="19" t="inlineStr">
        <is>
          <t>2 Bed 2 Bath</t>
        </is>
      </c>
      <c r="B2" s="21" t="n"/>
    </row>
    <row r="3" ht="14.4" customHeight="1" s="102">
      <c r="A3" s="19" t="n"/>
      <c r="B3" s="21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4.4" customHeight="1" s="102">
      <c r="A4" s="19" t="inlineStr">
        <is>
          <t>4.7.25</t>
        </is>
      </c>
      <c r="B4" s="72" t="n">
        <v>45749</v>
      </c>
      <c r="C4" s="61" t="inlineStr">
        <is>
          <t>R2953905,</t>
        </is>
      </c>
      <c r="D4" s="56" t="inlineStr">
        <is>
          <t>704 4433 ALASKA STREET</t>
        </is>
      </c>
      <c r="E4" s="56" t="inlineStr">
        <is>
          <t>500 856 HOMER STREET</t>
        </is>
      </c>
      <c r="F4" s="56" t="inlineStr">
        <is>
          <t>Vancouver, BC V5B 2W6</t>
        </is>
      </c>
      <c r="G4" s="125" t="n">
        <v>959900</v>
      </c>
      <c r="H4" s="56" t="inlineStr">
        <is>
          <t>AMACON DEVELOPMENT (ALASKA CORP)</t>
        </is>
      </c>
      <c r="I4" s="56" t="inlineStr">
        <is>
          <t>V</t>
        </is>
      </c>
      <c r="J4" s="56" t="inlineStr">
        <is>
          <t>Y</t>
        </is>
      </c>
      <c r="K4" s="56" t="inlineStr">
        <is>
          <t>E</t>
        </is>
      </c>
      <c r="L4" s="56" t="inlineStr">
        <is>
          <t>(Developer)</t>
        </is>
      </c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4.4" customHeight="1" s="102">
      <c r="A5" s="19" t="inlineStr">
        <is>
          <t>4.7.25</t>
        </is>
      </c>
      <c r="B5" s="72" t="n">
        <v>45749</v>
      </c>
      <c r="C5" s="61" t="inlineStr">
        <is>
          <t>R2953901,</t>
        </is>
      </c>
      <c r="D5" s="56" t="inlineStr">
        <is>
          <t>1702 4433 ALASKA STREET</t>
        </is>
      </c>
      <c r="E5" s="56" t="inlineStr">
        <is>
          <t>500 856 HOMER STREET</t>
        </is>
      </c>
      <c r="F5" s="56" t="inlineStr">
        <is>
          <t>Vancouver, BC V5B 2W6</t>
        </is>
      </c>
      <c r="G5" s="125" t="n">
        <v>945900</v>
      </c>
      <c r="H5" s="56" t="inlineStr">
        <is>
          <t>AMACON DEVELOPMENT (ALASKA CORP)</t>
        </is>
      </c>
      <c r="I5" s="56" t="inlineStr">
        <is>
          <t>V</t>
        </is>
      </c>
      <c r="J5" s="56" t="inlineStr">
        <is>
          <t>Y</t>
        </is>
      </c>
      <c r="K5" s="56" t="inlineStr">
        <is>
          <t>E</t>
        </is>
      </c>
      <c r="L5" s="56" t="inlineStr">
        <is>
          <t>(Developer)</t>
        </is>
      </c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4.4" customHeight="1" s="102">
      <c r="A6" s="19" t="inlineStr">
        <is>
          <t>4.7.25</t>
        </is>
      </c>
      <c r="B6" s="72" t="n">
        <v>45749</v>
      </c>
      <c r="C6" s="61" t="inlineStr">
        <is>
          <t>R2953904,</t>
        </is>
      </c>
      <c r="D6" s="56" t="inlineStr">
        <is>
          <t>1802 4433 ALASKA STREET</t>
        </is>
      </c>
      <c r="E6" s="56" t="inlineStr">
        <is>
          <t>500 856 HOMER STREET</t>
        </is>
      </c>
      <c r="F6" s="56" t="inlineStr">
        <is>
          <t>Vancouver, BC V5B 2W6</t>
        </is>
      </c>
      <c r="G6" s="125" t="n">
        <v>949400</v>
      </c>
      <c r="H6" s="56" t="inlineStr">
        <is>
          <t>AMACON DEVELOPMENT (ALASKA CORP)</t>
        </is>
      </c>
      <c r="I6" s="56" t="inlineStr">
        <is>
          <t>V</t>
        </is>
      </c>
      <c r="J6" s="56" t="inlineStr">
        <is>
          <t>Y</t>
        </is>
      </c>
      <c r="K6" s="56" t="inlineStr">
        <is>
          <t>E</t>
        </is>
      </c>
      <c r="L6" s="56" t="inlineStr">
        <is>
          <t>(Developer)</t>
        </is>
      </c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4.4" customHeight="1" s="102">
      <c r="A7" s="19" t="inlineStr">
        <is>
          <t>4.7.25</t>
        </is>
      </c>
      <c r="B7" s="21" t="inlineStr">
        <is>
          <t>12.26.24</t>
        </is>
      </c>
      <c r="C7" s="51" t="inlineStr">
        <is>
          <t>R2899247,</t>
        </is>
      </c>
      <c r="D7" s="33" t="inlineStr">
        <is>
          <t>309 4768 BRENTWOOD DRIVE</t>
        </is>
      </c>
      <c r="E7" s="33" t="inlineStr">
        <is>
          <t>309 4768 BRENTWOOD DRIVE</t>
        </is>
      </c>
      <c r="F7" s="19" t="inlineStr">
        <is>
          <t>BURNABY BC V5C 0C7</t>
        </is>
      </c>
      <c r="G7" s="115" t="n">
        <v>729900</v>
      </c>
      <c r="H7" s="33" t="inlineStr">
        <is>
          <t>CUI YAN MA | ZHUO WEN ZHOU</t>
        </is>
      </c>
      <c r="I7" s="19" t="inlineStr">
        <is>
          <t>T</t>
        </is>
      </c>
      <c r="J7" s="19" t="inlineStr">
        <is>
          <t>Y</t>
        </is>
      </c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4.4" customHeight="1" s="102">
      <c r="A8" s="19" t="inlineStr">
        <is>
          <t>4.7.25</t>
        </is>
      </c>
      <c r="B8" s="21" t="inlineStr">
        <is>
          <t>02.19.25</t>
        </is>
      </c>
      <c r="C8" s="51" t="inlineStr">
        <is>
          <t>R2916804,</t>
        </is>
      </c>
      <c r="D8" s="33" t="inlineStr">
        <is>
          <t>201 4788 BRENTWOOD DRIVE</t>
        </is>
      </c>
      <c r="E8" s="33" t="inlineStr">
        <is>
          <t>201 4788 BRENTWOOD DRIVE</t>
        </is>
      </c>
      <c r="F8" s="19" t="inlineStr">
        <is>
          <t>BURNABY BC V5C 0C5</t>
        </is>
      </c>
      <c r="G8" s="115" t="n">
        <v>729000</v>
      </c>
      <c r="H8" s="33" t="inlineStr">
        <is>
          <t>TRAN MY THI TRAN</t>
        </is>
      </c>
      <c r="I8" s="19" t="inlineStr">
        <is>
          <t>O</t>
        </is>
      </c>
      <c r="J8" s="19" t="inlineStr">
        <is>
          <t>Y</t>
        </is>
      </c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" customHeight="1" s="102">
      <c r="A9" s="19" t="inlineStr">
        <is>
          <t>4.7.25</t>
        </is>
      </c>
      <c r="B9" s="73" t="inlineStr">
        <is>
          <t>02.12.25</t>
        </is>
      </c>
      <c r="C9" s="74" t="inlineStr">
        <is>
          <t>R2849630,</t>
        </is>
      </c>
      <c r="D9" s="75" t="inlineStr">
        <is>
          <t>2802 4400 BUCHANAN STREET</t>
        </is>
      </c>
      <c r="E9" s="75" t="inlineStr">
        <is>
          <t>2802 4400 BUCHANAN STREET</t>
        </is>
      </c>
      <c r="F9" s="76" t="inlineStr">
        <is>
          <t>BURNABY BC V5C 0E3</t>
        </is>
      </c>
      <c r="G9" s="128" t="n">
        <v>1880000</v>
      </c>
      <c r="H9" s="76" t="inlineStr">
        <is>
          <t>HO SUEN | MEI YUN QIAN</t>
        </is>
      </c>
      <c r="I9" s="76" t="inlineStr">
        <is>
          <t>T</t>
        </is>
      </c>
      <c r="J9" s="76" t="inlineStr">
        <is>
          <t>Y</t>
        </is>
      </c>
      <c r="K9" s="76" t="inlineStr">
        <is>
          <t>3BR</t>
        </is>
      </c>
      <c r="L9" s="76" t="n"/>
      <c r="M9" s="76" t="n"/>
    </row>
    <row r="10" ht="14.4" customHeight="1" s="102">
      <c r="A10" s="19" t="inlineStr">
        <is>
          <t>4.7.25</t>
        </is>
      </c>
      <c r="B10" s="21" t="inlineStr">
        <is>
          <t>02.20.25</t>
        </is>
      </c>
      <c r="C10" s="51" t="inlineStr">
        <is>
          <t>R2851939,</t>
        </is>
      </c>
      <c r="D10" s="33" t="inlineStr">
        <is>
          <t>2802 2133 DOUGLAS ROAD</t>
        </is>
      </c>
      <c r="E10" s="33" t="inlineStr">
        <is>
          <t>2802 2133 DOUGLAS ROAD</t>
        </is>
      </c>
      <c r="F10" s="19" t="inlineStr">
        <is>
          <t>BURNABY BC V5C 0E9</t>
        </is>
      </c>
      <c r="G10" s="115" t="n">
        <v>938000</v>
      </c>
      <c r="H10" s="33" t="inlineStr">
        <is>
          <t>CHEN, JU</t>
        </is>
      </c>
      <c r="I10" s="19" t="inlineStr">
        <is>
          <t>T</t>
        </is>
      </c>
      <c r="J10" s="19" t="inlineStr">
        <is>
          <t>Y</t>
        </is>
      </c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4.4" customHeight="1" s="102">
      <c r="A11" s="19" t="inlineStr">
        <is>
          <t>4.7.25</t>
        </is>
      </c>
      <c r="B11" s="21" t="inlineStr">
        <is>
          <t>01.03.25</t>
        </is>
      </c>
      <c r="C11" s="51" t="inlineStr">
        <is>
          <t>R2945361,</t>
        </is>
      </c>
      <c r="D11" s="33" t="inlineStr">
        <is>
          <t>405 1728 GILMORE AVENUE</t>
        </is>
      </c>
      <c r="E11" s="33" t="inlineStr">
        <is>
          <t>405 1728 GILMORE AVENUE</t>
        </is>
      </c>
      <c r="F11" s="19" t="inlineStr">
        <is>
          <t>BURNABY, BC V5C 0L3</t>
        </is>
      </c>
      <c r="G11" s="115" t="n">
        <v>848800</v>
      </c>
      <c r="H11" s="33" t="inlineStr">
        <is>
          <t>PARMJIT SAGGU &amp; VIKRAM SAGGU &amp; JASBINDER PANESAR</t>
        </is>
      </c>
      <c r="I11" s="19" t="inlineStr">
        <is>
          <t>O</t>
        </is>
      </c>
      <c r="J11" s="19" t="inlineStr">
        <is>
          <t>Y</t>
        </is>
      </c>
      <c r="K11" s="19" t="inlineStr">
        <is>
          <t>CP</t>
        </is>
      </c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4.4" customHeight="1" s="102">
      <c r="A12" s="19" t="inlineStr">
        <is>
          <t>4.7.25</t>
        </is>
      </c>
      <c r="B12" s="21" t="inlineStr">
        <is>
          <t>12.31.24</t>
        </is>
      </c>
      <c r="C12" s="51" t="inlineStr">
        <is>
          <t>R2912174,</t>
        </is>
      </c>
      <c r="D12" s="33" t="inlineStr">
        <is>
          <t>1505 2186 GILMORE AVENUE</t>
        </is>
      </c>
      <c r="E12" s="19" t="inlineStr">
        <is>
          <t>5339 MONARCH STREET</t>
        </is>
      </c>
      <c r="F12" s="19" t="inlineStr">
        <is>
          <t>BURNABY, BC V5G 1Z9</t>
        </is>
      </c>
      <c r="G12" s="115" t="n">
        <v>1068000</v>
      </c>
      <c r="H12" s="19" t="inlineStr">
        <is>
          <t>KUN HO KU</t>
        </is>
      </c>
      <c r="I12" s="19" t="inlineStr">
        <is>
          <t>V</t>
        </is>
      </c>
      <c r="J12" s="19" t="inlineStr">
        <is>
          <t>Y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4.4" customHeight="1" s="102">
      <c r="A13" s="19" t="inlineStr">
        <is>
          <t>4.7.25</t>
        </is>
      </c>
      <c r="B13" s="21" t="inlineStr">
        <is>
          <t>12.31.24</t>
        </is>
      </c>
      <c r="C13" s="51" t="inlineStr">
        <is>
          <t>R2914218,</t>
        </is>
      </c>
      <c r="D13" s="33" t="inlineStr">
        <is>
          <t>2608 2186 GILMORE AVENUE</t>
        </is>
      </c>
      <c r="E13" s="33" t="inlineStr">
        <is>
          <t>2608 2186 GILMORE AVENUE</t>
        </is>
      </c>
      <c r="F13" s="33" t="inlineStr">
        <is>
          <t>Burnaby, BC V5C 0N7</t>
        </is>
      </c>
      <c r="G13" s="115" t="n">
        <v>1050000</v>
      </c>
      <c r="H13" s="33" t="inlineStr">
        <is>
          <t>Home Owner</t>
        </is>
      </c>
      <c r="I13" s="19" t="inlineStr">
        <is>
          <t>V</t>
        </is>
      </c>
      <c r="J13" s="19" t="inlineStr">
        <is>
          <t>N</t>
        </is>
      </c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4.4" customHeight="1" s="102">
      <c r="A14" s="19" t="inlineStr">
        <is>
          <t>4.7.25</t>
        </is>
      </c>
      <c r="B14" s="21" t="inlineStr">
        <is>
          <t>01.31.25</t>
        </is>
      </c>
      <c r="C14" s="51" t="inlineStr">
        <is>
          <t>R2908605,</t>
        </is>
      </c>
      <c r="D14" s="33" t="inlineStr">
        <is>
          <t>4507 2186 GILMORE AVENUE</t>
        </is>
      </c>
      <c r="E14" s="19" t="inlineStr">
        <is>
          <t>2003 4250 DAWSON ST</t>
        </is>
      </c>
      <c r="F14" s="19" t="inlineStr">
        <is>
          <t>BURNABY, BC V5C 4B1</t>
        </is>
      </c>
      <c r="G14" s="115" t="n">
        <v>1278000</v>
      </c>
      <c r="H14" s="19" t="inlineStr">
        <is>
          <t>SHAHRAM FASIHY</t>
        </is>
      </c>
      <c r="I14" s="19" t="inlineStr">
        <is>
          <t>O</t>
        </is>
      </c>
      <c r="J14" s="19" t="inlineStr">
        <is>
          <t>Y</t>
        </is>
      </c>
      <c r="K14" s="19" t="n"/>
      <c r="L14" s="19" t="n"/>
      <c r="M14" s="19" t="inlineStr">
        <is>
          <t>04.02.25</t>
        </is>
      </c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4.4" customHeight="1" s="102">
      <c r="A15" s="19" t="inlineStr">
        <is>
          <t>4.7.25</t>
        </is>
      </c>
      <c r="B15" s="21" t="inlineStr">
        <is>
          <t>01.31.25</t>
        </is>
      </c>
      <c r="C15" s="51" t="inlineStr">
        <is>
          <t>R2908621,</t>
        </is>
      </c>
      <c r="D15" s="33" t="inlineStr">
        <is>
          <t>4607 2186 GILMORE AVENUE</t>
        </is>
      </c>
      <c r="E15" s="19" t="inlineStr">
        <is>
          <t>2003 4250 DAWSON ST</t>
        </is>
      </c>
      <c r="F15" s="19" t="inlineStr">
        <is>
          <t>BURNABY, BC V5C 4B1</t>
        </is>
      </c>
      <c r="G15" s="115" t="n">
        <v>1288000</v>
      </c>
      <c r="H15" s="19" t="inlineStr">
        <is>
          <t>SHAHRAM FASIHY</t>
        </is>
      </c>
      <c r="I15" s="19" t="inlineStr">
        <is>
          <t>O</t>
        </is>
      </c>
      <c r="J15" s="19" t="inlineStr">
        <is>
          <t>Y</t>
        </is>
      </c>
      <c r="K15" s="19" t="n"/>
      <c r="L15" s="19" t="n"/>
      <c r="M15" s="19" t="inlineStr">
        <is>
          <t>04.02.25</t>
        </is>
      </c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4.4" customHeight="1" s="102">
      <c r="A16" s="19" t="inlineStr">
        <is>
          <t>4.7.25</t>
        </is>
      </c>
      <c r="B16" s="21" t="inlineStr">
        <is>
          <t>02.26.25</t>
        </is>
      </c>
      <c r="C16" s="51" t="inlineStr">
        <is>
          <t>R2918659,</t>
        </is>
      </c>
      <c r="D16" s="33" t="inlineStr">
        <is>
          <t>4709 2186 GILMORE AVENUE</t>
        </is>
      </c>
      <c r="E16" s="19" t="inlineStr">
        <is>
          <t>701-8260 162A STREET</t>
        </is>
      </c>
      <c r="F16" s="19" t="inlineStr">
        <is>
          <t>SURREY, BC V4N 0P6</t>
        </is>
      </c>
      <c r="G16" s="115" t="n">
        <v>899000</v>
      </c>
      <c r="H16" s="19" t="inlineStr">
        <is>
          <t>IZAK HALIGVA</t>
        </is>
      </c>
      <c r="I16" s="19" t="inlineStr">
        <is>
          <t>V</t>
        </is>
      </c>
      <c r="J16" s="19" t="inlineStr">
        <is>
          <t>Y</t>
        </is>
      </c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4.4" customHeight="1" s="102">
      <c r="A17" s="19" t="inlineStr">
        <is>
          <t>4.7.25</t>
        </is>
      </c>
      <c r="B17" s="21" t="inlineStr">
        <is>
          <t>12.31.24</t>
        </is>
      </c>
      <c r="C17" s="51" t="inlineStr">
        <is>
          <t>R2898031,</t>
        </is>
      </c>
      <c r="D17" s="33" t="inlineStr">
        <is>
          <t>2301 5311 GORING STREET</t>
        </is>
      </c>
      <c r="E17" s="33" t="inlineStr">
        <is>
          <t>2301 5311 GORING STREET</t>
        </is>
      </c>
      <c r="F17" s="33" t="inlineStr">
        <is>
          <t>Burnaby, BC V5B 0B5</t>
        </is>
      </c>
      <c r="G17" s="115" t="n">
        <v>1499900</v>
      </c>
      <c r="H17" s="78" t="inlineStr">
        <is>
          <t>MOHAMMAD ANSAR</t>
        </is>
      </c>
      <c r="I17" s="19" t="inlineStr">
        <is>
          <t>O</t>
        </is>
      </c>
      <c r="J17" s="19" t="inlineStr">
        <is>
          <t>Y</t>
        </is>
      </c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4.4" customHeight="1" s="102">
      <c r="A18" s="19" t="inlineStr">
        <is>
          <t>4.7.25</t>
        </is>
      </c>
      <c r="B18" s="21" t="inlineStr">
        <is>
          <t>03.01.25</t>
        </is>
      </c>
      <c r="C18" s="51" t="inlineStr">
        <is>
          <t>R2944836,</t>
        </is>
      </c>
      <c r="D18" s="33" t="inlineStr">
        <is>
          <t>1204 2225 HOLDOM AVENUE</t>
        </is>
      </c>
      <c r="E18" s="33" t="inlineStr">
        <is>
          <t>1204 2225 HOLDOM AVENUE</t>
        </is>
      </c>
      <c r="F18" s="33" t="inlineStr">
        <is>
          <t>Burnaby, BC V5B 0A1</t>
        </is>
      </c>
      <c r="G18" s="115" t="n">
        <v>879900</v>
      </c>
      <c r="H18" s="19" t="inlineStr">
        <is>
          <t>ALIREZA RABIEE</t>
        </is>
      </c>
      <c r="I18" s="19" t="inlineStr">
        <is>
          <t>V</t>
        </is>
      </c>
      <c r="J18" s="19" t="inlineStr">
        <is>
          <t>Y</t>
        </is>
      </c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4.4" customHeight="1" s="102">
      <c r="A19" s="19" t="inlineStr">
        <is>
          <t>4.7.25</t>
        </is>
      </c>
      <c r="B19" s="21" t="inlineStr">
        <is>
          <t>03.04.25</t>
        </is>
      </c>
      <c r="C19" s="51" t="inlineStr">
        <is>
          <t>R2944216,</t>
        </is>
      </c>
      <c r="D19" s="33" t="inlineStr">
        <is>
          <t>1308 4488 JUNEAU STREET</t>
        </is>
      </c>
      <c r="E19" s="33" t="inlineStr">
        <is>
          <t>1308 4488 JUNEAU STREET</t>
        </is>
      </c>
      <c r="F19" s="33" t="inlineStr">
        <is>
          <t>Burnaby, BC V5C 0M4</t>
        </is>
      </c>
      <c r="G19" s="115" t="n">
        <v>928000</v>
      </c>
      <c r="H19" s="19" t="inlineStr">
        <is>
          <t>PHILLIP ROY LUNDRIE | HUI XIN ZHONG</t>
        </is>
      </c>
      <c r="I19" s="19" t="inlineStr">
        <is>
          <t>O</t>
        </is>
      </c>
      <c r="J19" s="19" t="inlineStr">
        <is>
          <t>Y</t>
        </is>
      </c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4.4" customHeight="1" s="102">
      <c r="A20" s="19" t="inlineStr">
        <is>
          <t>4.7.25</t>
        </is>
      </c>
      <c r="B20" s="21" t="inlineStr">
        <is>
          <t>01.27.25</t>
        </is>
      </c>
      <c r="C20" s="51" t="inlineStr">
        <is>
          <t>R2920074,</t>
        </is>
      </c>
      <c r="D20" s="33" t="inlineStr">
        <is>
          <t>701 4488 JUNEAU STREET</t>
        </is>
      </c>
      <c r="E20" s="33" t="inlineStr">
        <is>
          <t>701 4488 JUNEAU STREET</t>
        </is>
      </c>
      <c r="F20" s="19" t="inlineStr">
        <is>
          <t>BURNABY, BC V5C 0M4</t>
        </is>
      </c>
      <c r="G20" s="115" t="n">
        <v>949900</v>
      </c>
      <c r="H20" s="19" t="inlineStr">
        <is>
          <t>CARMELA DE BENEDETTO</t>
        </is>
      </c>
      <c r="I20" s="19" t="inlineStr">
        <is>
          <t>V</t>
        </is>
      </c>
      <c r="J20" s="19" t="inlineStr">
        <is>
          <t>Y</t>
        </is>
      </c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102">
      <c r="A21" s="19" t="inlineStr">
        <is>
          <t>4.7.25</t>
        </is>
      </c>
      <c r="B21" s="72" t="n">
        <v>45748</v>
      </c>
      <c r="C21" s="61" t="inlineStr">
        <is>
          <t>R2948501,</t>
        </is>
      </c>
      <c r="D21" s="56" t="inlineStr">
        <is>
          <t>1306 4168 LOUGHEED HIGHWAY</t>
        </is>
      </c>
      <c r="E21" s="56" t="inlineStr">
        <is>
          <t>1306 4168 LOUGHEED HIGHWAY</t>
        </is>
      </c>
      <c r="F21" s="56" t="inlineStr">
        <is>
          <t>Burnaby, BC V5C 0N9</t>
        </is>
      </c>
      <c r="G21" s="125" t="n">
        <v>938888</v>
      </c>
      <c r="H21" s="56" t="inlineStr">
        <is>
          <t>ONNI GILMORE HOLDINGS CORP</t>
        </is>
      </c>
      <c r="I21" s="56" t="inlineStr">
        <is>
          <t>V</t>
        </is>
      </c>
      <c r="J21" s="56" t="inlineStr">
        <is>
          <t>Y</t>
        </is>
      </c>
      <c r="K21" s="56" t="inlineStr">
        <is>
          <t>E</t>
        </is>
      </c>
      <c r="L21" s="56" t="inlineStr">
        <is>
          <t>(Developer)</t>
        </is>
      </c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102">
      <c r="A22" s="19" t="inlineStr">
        <is>
          <t>4.7.25</t>
        </is>
      </c>
      <c r="B22" s="21" t="inlineStr">
        <is>
          <t>03.01.25</t>
        </is>
      </c>
      <c r="C22" s="51" t="inlineStr">
        <is>
          <t>R2949136,</t>
        </is>
      </c>
      <c r="D22" s="33" t="inlineStr">
        <is>
          <t>2107 4168 LOUGHEED HIGHWAY</t>
        </is>
      </c>
      <c r="E22" s="19" t="inlineStr">
        <is>
          <t>201 1280 RICHARDS ST</t>
        </is>
      </c>
      <c r="F22" s="19" t="inlineStr">
        <is>
          <t>VANCOUVER, BC V6B 1S2</t>
        </is>
      </c>
      <c r="G22" s="115" t="n">
        <v>990000</v>
      </c>
      <c r="H22" s="19" t="inlineStr">
        <is>
          <t>BRUC LEONARD HOBSON | VICTORIA CAROLINA OSORIO SANCHEZ</t>
        </is>
      </c>
      <c r="I22" s="19" t="inlineStr">
        <is>
          <t>V</t>
        </is>
      </c>
      <c r="J22" s="19" t="inlineStr">
        <is>
          <t>Y</t>
        </is>
      </c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102">
      <c r="A23" s="19" t="inlineStr">
        <is>
          <t>4.7.25</t>
        </is>
      </c>
      <c r="B23" s="21" t="inlineStr">
        <is>
          <t>01.22.25</t>
        </is>
      </c>
      <c r="C23" s="51" t="inlineStr">
        <is>
          <t>R2917054,</t>
        </is>
      </c>
      <c r="D23" s="33" t="inlineStr">
        <is>
          <t>2409 4880 LOUGHEED HIGHWAY</t>
        </is>
      </c>
      <c r="E23" s="19" t="inlineStr">
        <is>
          <t>3968 WEST 11th AVENUE</t>
        </is>
      </c>
      <c r="F23" s="33" t="inlineStr">
        <is>
          <t>VANCOUVER, BC V6R 2L2</t>
        </is>
      </c>
      <c r="G23" s="115" t="n">
        <v>893000</v>
      </c>
      <c r="H23" s="19" t="inlineStr">
        <is>
          <t>XI YU GUO</t>
        </is>
      </c>
      <c r="I23" s="19" t="inlineStr">
        <is>
          <t xml:space="preserve">V </t>
        </is>
      </c>
      <c r="J23" s="19" t="inlineStr">
        <is>
          <t>Y</t>
        </is>
      </c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102">
      <c r="A24" s="19" t="inlineStr">
        <is>
          <t>4.7.25</t>
        </is>
      </c>
      <c r="B24" s="21" t="inlineStr">
        <is>
          <t>12.31.24</t>
        </is>
      </c>
      <c r="C24" s="51" t="inlineStr">
        <is>
          <t>R2866736,</t>
        </is>
      </c>
      <c r="D24" s="33" t="inlineStr">
        <is>
          <t>3003 4880 LOUGHEED HIGHWAY</t>
        </is>
      </c>
      <c r="E24" s="33" t="inlineStr">
        <is>
          <t>3003 4880 LOUGHEED HIGHWAY</t>
        </is>
      </c>
      <c r="F24" s="33" t="inlineStr">
        <is>
          <t>Burnaby, BC V5C 0N1</t>
        </is>
      </c>
      <c r="G24" s="115" t="n">
        <v>988000</v>
      </c>
      <c r="H24" s="33" t="inlineStr">
        <is>
          <t>Home Owner</t>
        </is>
      </c>
      <c r="I24" s="19" t="inlineStr">
        <is>
          <t>V</t>
        </is>
      </c>
      <c r="J24" s="19" t="inlineStr">
        <is>
          <t>Y (developer)</t>
        </is>
      </c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102">
      <c r="A25" s="19" t="inlineStr">
        <is>
          <t>4.7.25</t>
        </is>
      </c>
      <c r="B25" s="21" t="inlineStr">
        <is>
          <t>12.31.24</t>
        </is>
      </c>
      <c r="C25" s="51" t="inlineStr">
        <is>
          <t>R2868864,</t>
        </is>
      </c>
      <c r="D25" s="33" t="inlineStr">
        <is>
          <t>4102 4880 LOUGHEED HIGHWAY</t>
        </is>
      </c>
      <c r="E25" s="33" t="inlineStr">
        <is>
          <t>4102 4880 LOUGHEED HIGHWAY</t>
        </is>
      </c>
      <c r="F25" s="33" t="inlineStr">
        <is>
          <t>Burnaby, BC V5C 0N1</t>
        </is>
      </c>
      <c r="G25" s="115" t="n">
        <v>999000</v>
      </c>
      <c r="H25" s="33" t="inlineStr">
        <is>
          <t>Home Owner</t>
        </is>
      </c>
      <c r="I25" s="19" t="inlineStr">
        <is>
          <t>V</t>
        </is>
      </c>
      <c r="J25" s="19" t="inlineStr">
        <is>
          <t>N</t>
        </is>
      </c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102">
      <c r="A26" s="19" t="inlineStr">
        <is>
          <t>4.7.25</t>
        </is>
      </c>
      <c r="B26" s="21" t="inlineStr">
        <is>
          <t>12.31.24</t>
        </is>
      </c>
      <c r="C26" s="51" t="inlineStr">
        <is>
          <t>R2866541,</t>
        </is>
      </c>
      <c r="D26" s="33" t="inlineStr">
        <is>
          <t>4202 4880 LOUGHEED HIGHWAY</t>
        </is>
      </c>
      <c r="E26" s="33" t="inlineStr">
        <is>
          <t>4202 4880 LOUGHEED HIGHWAY</t>
        </is>
      </c>
      <c r="F26" s="33" t="inlineStr">
        <is>
          <t>Burnaby, BC V5C 0N1</t>
        </is>
      </c>
      <c r="G26" s="115" t="n">
        <v>1048000</v>
      </c>
      <c r="H26" s="33" t="inlineStr">
        <is>
          <t>Home Owner</t>
        </is>
      </c>
      <c r="I26" s="19" t="inlineStr">
        <is>
          <t>V</t>
        </is>
      </c>
      <c r="J26" s="19" t="inlineStr">
        <is>
          <t>Y (developer)</t>
        </is>
      </c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102">
      <c r="A27" s="19" t="inlineStr">
        <is>
          <t>4.7.25</t>
        </is>
      </c>
      <c r="B27" s="24" t="n">
        <v>45748</v>
      </c>
      <c r="C27" s="49" t="inlineStr">
        <is>
          <t>R2950958,</t>
        </is>
      </c>
      <c r="D27" s="19" t="inlineStr">
        <is>
          <t>1604 4890 LOUGHEED HIGHWAY</t>
        </is>
      </c>
      <c r="E27" s="19" t="inlineStr">
        <is>
          <t>2607 4890 LOUGHEED HIGHWAY</t>
        </is>
      </c>
      <c r="F27" s="19" t="inlineStr">
        <is>
          <t>Burnaby, BC V5C 0N2</t>
        </is>
      </c>
      <c r="G27" s="113" t="n">
        <v>899800</v>
      </c>
      <c r="H27" s="19" t="inlineStr">
        <is>
          <t>HO MAN MAK</t>
        </is>
      </c>
      <c r="I27" s="19" t="inlineStr">
        <is>
          <t>V</t>
        </is>
      </c>
      <c r="J27" s="19" t="inlineStr">
        <is>
          <t>Y</t>
        </is>
      </c>
      <c r="K27" s="19" t="inlineStr">
        <is>
          <t>E</t>
        </is>
      </c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102">
      <c r="A28" s="19" t="inlineStr">
        <is>
          <t>4.7.25</t>
        </is>
      </c>
      <c r="B28" s="21" t="inlineStr">
        <is>
          <t>12.31.24</t>
        </is>
      </c>
      <c r="C28" s="51" t="inlineStr">
        <is>
          <t>R2900969,</t>
        </is>
      </c>
      <c r="D28" s="33" t="inlineStr">
        <is>
          <t>3302 4890 LOUGHEED HIGHWAY</t>
        </is>
      </c>
      <c r="E28" s="19" t="inlineStr">
        <is>
          <t>3551 SHUSWAP AVENUE</t>
        </is>
      </c>
      <c r="F28" s="19" t="inlineStr">
        <is>
          <t>RICHMOND, BC V7E 2A9</t>
        </is>
      </c>
      <c r="G28" s="115" t="n">
        <v>1008000</v>
      </c>
      <c r="H28" s="19" t="inlineStr">
        <is>
          <t>CHI KEUNG CHENG</t>
        </is>
      </c>
      <c r="I28" s="19" t="inlineStr">
        <is>
          <t>V</t>
        </is>
      </c>
      <c r="J28" s="19" t="inlineStr">
        <is>
          <t>Y</t>
        </is>
      </c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102">
      <c r="A29" s="19" t="inlineStr">
        <is>
          <t>4.7.25</t>
        </is>
      </c>
      <c r="B29" s="21" t="inlineStr">
        <is>
          <t>12.31.24</t>
        </is>
      </c>
      <c r="C29" s="51" t="inlineStr">
        <is>
          <t>R2875051,</t>
        </is>
      </c>
      <c r="D29" s="33" t="inlineStr">
        <is>
          <t>3503 4890 LOUGHEED HIGHWAY</t>
        </is>
      </c>
      <c r="E29" s="19" t="inlineStr">
        <is>
          <t>3503 - 4890 LOUGHEED HIGHWAY</t>
        </is>
      </c>
      <c r="F29" s="19" t="inlineStr">
        <is>
          <t>BURNABY, BC V5C 0N2</t>
        </is>
      </c>
      <c r="G29" s="115" t="n">
        <v>1350000</v>
      </c>
      <c r="H29" s="19" t="inlineStr">
        <is>
          <t>YOU HUA HUANG</t>
        </is>
      </c>
      <c r="I29" s="19" t="inlineStr">
        <is>
          <t>V</t>
        </is>
      </c>
      <c r="J29" s="19" t="inlineStr">
        <is>
          <t>Y</t>
        </is>
      </c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102">
      <c r="A30" s="19" t="inlineStr">
        <is>
          <t>4.7.25</t>
        </is>
      </c>
      <c r="B30" s="21" t="inlineStr">
        <is>
          <t>12.31.24</t>
        </is>
      </c>
      <c r="C30" s="51" t="inlineStr">
        <is>
          <t>R2867661,</t>
        </is>
      </c>
      <c r="D30" s="33" t="inlineStr">
        <is>
          <t>3409 4880 LOUGHEED HIGHWAY</t>
        </is>
      </c>
      <c r="E30" s="19" t="inlineStr">
        <is>
          <t>7560 TWEEDSMUIR AVE</t>
        </is>
      </c>
      <c r="F30" s="19" t="inlineStr">
        <is>
          <t>RICHMOND, BC V7A 5G6</t>
        </is>
      </c>
      <c r="G30" s="115" t="n">
        <v>968000</v>
      </c>
      <c r="H30" s="19" t="inlineStr">
        <is>
          <t>HUI ZHEN CHEN</t>
        </is>
      </c>
      <c r="I30" s="19" t="inlineStr">
        <is>
          <t>V</t>
        </is>
      </c>
      <c r="J30" s="19" t="inlineStr">
        <is>
          <t>Y</t>
        </is>
      </c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102">
      <c r="A31" s="19" t="inlineStr">
        <is>
          <t>4.7.25</t>
        </is>
      </c>
      <c r="B31" s="21" t="inlineStr">
        <is>
          <t>01.03.25</t>
        </is>
      </c>
      <c r="C31" s="51" t="inlineStr">
        <is>
          <t>R2916789,</t>
        </is>
      </c>
      <c r="D31" s="33" t="inlineStr">
        <is>
          <t>3002 2181 MADISON AVENUE</t>
        </is>
      </c>
      <c r="E31" s="33" t="inlineStr">
        <is>
          <t>3002 2181 MADISON AVENUE</t>
        </is>
      </c>
      <c r="F31" s="19" t="inlineStr">
        <is>
          <t>BURNABY, BC V5C 0N4</t>
        </is>
      </c>
      <c r="G31" s="115" t="n">
        <v>989000</v>
      </c>
      <c r="H31" s="19" t="inlineStr">
        <is>
          <t>YANAN ZHA</t>
        </is>
      </c>
      <c r="I31" s="19" t="inlineStr">
        <is>
          <t>V</t>
        </is>
      </c>
      <c r="J31" s="19" t="inlineStr">
        <is>
          <t>Y</t>
        </is>
      </c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102">
      <c r="B32" s="21" t="inlineStr">
        <is>
          <t>07.23.23</t>
        </is>
      </c>
      <c r="C32" s="51" t="inlineStr">
        <is>
          <t>R2766903,</t>
        </is>
      </c>
      <c r="D32" s="33" t="inlineStr">
        <is>
          <t>506 2188 MADISON AVENUE</t>
        </is>
      </c>
      <c r="E32" s="33" t="inlineStr">
        <is>
          <t>506 2188 MADISON AVENUE</t>
        </is>
      </c>
      <c r="F32" s="65" t="inlineStr">
        <is>
          <t>Burnaby, BC V5C 0J8</t>
        </is>
      </c>
      <c r="G32" s="115" t="n">
        <v>998000</v>
      </c>
      <c r="H32" s="19" t="inlineStr">
        <is>
          <t>Home Owner</t>
        </is>
      </c>
      <c r="I32" s="19" t="inlineStr">
        <is>
          <t>O</t>
        </is>
      </c>
      <c r="J32" s="19" t="inlineStr">
        <is>
          <t>N</t>
        </is>
      </c>
      <c r="K32" s="19" t="inlineStr">
        <is>
          <t>T</t>
        </is>
      </c>
      <c r="L32" s="19" t="n"/>
      <c r="M32" s="19" t="inlineStr">
        <is>
          <t>04.16.25</t>
        </is>
      </c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102">
      <c r="A33" s="19" t="inlineStr">
        <is>
          <t>4.7.25</t>
        </is>
      </c>
      <c r="B33" s="21" t="inlineStr">
        <is>
          <t>12.27.24</t>
        </is>
      </c>
      <c r="C33" s="51" t="inlineStr">
        <is>
          <t>R2913276,</t>
        </is>
      </c>
      <c r="D33" s="33" t="inlineStr">
        <is>
          <t>511 2188 MADISON AVENUE</t>
        </is>
      </c>
      <c r="E33" s="19" t="inlineStr">
        <is>
          <t>4135 GEORGIA STREET</t>
        </is>
      </c>
      <c r="F33" s="19" t="inlineStr">
        <is>
          <t>BURNABY, BC V5C 2T5</t>
        </is>
      </c>
      <c r="G33" s="115" t="n">
        <v>893888</v>
      </c>
      <c r="H33" s="19" t="inlineStr">
        <is>
          <t>RICK MANGAT | TINA MARIA CIACCIA MANGAT</t>
        </is>
      </c>
      <c r="I33" s="19" t="inlineStr">
        <is>
          <t>T</t>
        </is>
      </c>
      <c r="J33" s="19" t="inlineStr">
        <is>
          <t>Y</t>
        </is>
      </c>
      <c r="K33" s="19" t="n"/>
      <c r="L33" s="19" t="n"/>
      <c r="M33" s="19" t="inlineStr">
        <is>
          <t>04.16.25</t>
        </is>
      </c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102">
      <c r="A34" s="19" t="inlineStr">
        <is>
          <t>4.7.25</t>
        </is>
      </c>
      <c r="B34" s="24" t="n">
        <v>45751</v>
      </c>
      <c r="C34" s="49" t="inlineStr">
        <is>
          <t>R2963413,</t>
        </is>
      </c>
      <c r="D34" s="19" t="inlineStr">
        <is>
          <t>3009 2181 MADISON AVENUE</t>
        </is>
      </c>
      <c r="E34" s="19" t="inlineStr">
        <is>
          <t xml:space="preserve">4858 GEORGIA STREET </t>
        </is>
      </c>
      <c r="F34" s="19" t="inlineStr">
        <is>
          <t>Burnaby, BC V5C 2V9</t>
        </is>
      </c>
      <c r="G34" s="113" t="n">
        <v>838000</v>
      </c>
      <c r="H34" s="19" t="inlineStr">
        <is>
          <t>DAN TAK-YAN CHEUK | SAU CHU TSUI</t>
        </is>
      </c>
      <c r="I34" s="19" t="inlineStr">
        <is>
          <t>V</t>
        </is>
      </c>
      <c r="J34" s="19" t="inlineStr">
        <is>
          <t>Y</t>
        </is>
      </c>
      <c r="K34" s="19" t="inlineStr">
        <is>
          <t>E</t>
        </is>
      </c>
    </row>
    <row r="35" ht="15.75" customHeight="1" s="102">
      <c r="A35" s="19" t="inlineStr">
        <is>
          <t>4.7.25</t>
        </is>
      </c>
      <c r="B35" s="21" t="inlineStr">
        <is>
          <t>01.31.25</t>
        </is>
      </c>
      <c r="C35" s="51" t="inlineStr">
        <is>
          <t>R2940862,</t>
        </is>
      </c>
      <c r="D35" s="33" t="inlineStr">
        <is>
          <t>1901 2388 MADISON AVENUE</t>
        </is>
      </c>
      <c r="E35" s="19" t="inlineStr">
        <is>
          <t>8855 151 ST</t>
        </is>
      </c>
      <c r="F35" s="19" t="inlineStr">
        <is>
          <t>SURREY, BC V3R 6X5</t>
        </is>
      </c>
      <c r="G35" s="115" t="n">
        <v>939000</v>
      </c>
      <c r="H35" s="19" t="inlineStr">
        <is>
          <t>YANGYU LI</t>
        </is>
      </c>
      <c r="I35" s="19" t="inlineStr">
        <is>
          <t>T</t>
        </is>
      </c>
      <c r="J35" s="19" t="inlineStr">
        <is>
          <t>Y</t>
        </is>
      </c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102">
      <c r="A36" s="19" t="inlineStr">
        <is>
          <t>4.7.25</t>
        </is>
      </c>
      <c r="B36" s="21" t="inlineStr">
        <is>
          <t>02.18.25</t>
        </is>
      </c>
      <c r="C36" s="51" t="inlineStr">
        <is>
          <t>R2944995,</t>
        </is>
      </c>
      <c r="D36" s="33" t="inlineStr">
        <is>
          <t>1405 2085 SKYLINE COURT</t>
        </is>
      </c>
      <c r="E36" s="19" t="inlineStr">
        <is>
          <t>10208 170A STREET</t>
        </is>
      </c>
      <c r="F36" s="19" t="inlineStr">
        <is>
          <t>SURREY, BC V4N 4N6</t>
        </is>
      </c>
      <c r="G36" s="115" t="n">
        <v>998800</v>
      </c>
      <c r="H36" s="19" t="inlineStr">
        <is>
          <t>SHI HAI HUANG | XIAO GUANG CHI</t>
        </is>
      </c>
      <c r="I36" s="19" t="inlineStr">
        <is>
          <t>T</t>
        </is>
      </c>
      <c r="J36" s="19" t="inlineStr">
        <is>
          <t>Y</t>
        </is>
      </c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102">
      <c r="A37" s="19" t="inlineStr">
        <is>
          <t>4.7.25</t>
        </is>
      </c>
      <c r="B37" s="21" t="inlineStr">
        <is>
          <t>12.31.24</t>
        </is>
      </c>
      <c r="C37" s="51" t="inlineStr">
        <is>
          <t>R2916186,</t>
        </is>
      </c>
      <c r="D37" s="33" t="inlineStr">
        <is>
          <t>2704 2085 SKYLINE COURT</t>
        </is>
      </c>
      <c r="E37" s="33" t="inlineStr">
        <is>
          <t>2704 2085 SKYLINE COURT</t>
        </is>
      </c>
      <c r="F37" s="33" t="inlineStr">
        <is>
          <t>Burnaby, BC V5C 0M6</t>
        </is>
      </c>
      <c r="G37" s="115" t="n">
        <v>1156000</v>
      </c>
      <c r="H37" s="19" t="inlineStr">
        <is>
          <t>FENGYU CHEN</t>
        </is>
      </c>
      <c r="I37" s="19" t="inlineStr">
        <is>
          <t>TV</t>
        </is>
      </c>
      <c r="J37" s="19" t="inlineStr">
        <is>
          <t>Y</t>
        </is>
      </c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102">
      <c r="A38" s="19" t="inlineStr">
        <is>
          <t>4.7.25</t>
        </is>
      </c>
      <c r="B38" s="24" t="n">
        <v>45750</v>
      </c>
      <c r="C38" s="49" t="inlineStr">
        <is>
          <t>R2964733,</t>
        </is>
      </c>
      <c r="D38" s="19" t="inlineStr">
        <is>
          <t>4005 4485 SKYLINE DRIVE</t>
        </is>
      </c>
      <c r="E38" s="19" t="inlineStr">
        <is>
          <t>4005 4485 SKYLINE DRIVE</t>
        </is>
      </c>
      <c r="F38" s="19" t="inlineStr">
        <is>
          <t>Burnaby, BC V5C 0J2</t>
        </is>
      </c>
      <c r="G38" s="113" t="n">
        <v>938888</v>
      </c>
      <c r="H38" s="19" t="inlineStr">
        <is>
          <t>XIAOMIN RONG</t>
        </is>
      </c>
      <c r="I38" s="19" t="inlineStr">
        <is>
          <t>O</t>
        </is>
      </c>
      <c r="J38" s="19" t="inlineStr">
        <is>
          <t>Y</t>
        </is>
      </c>
      <c r="K38" s="19" t="inlineStr">
        <is>
          <t>T</t>
        </is>
      </c>
    </row>
    <row r="39" ht="15.75" customHeight="1" s="102">
      <c r="A39" s="19" t="inlineStr">
        <is>
          <t>4.7.25</t>
        </is>
      </c>
      <c r="B39" s="21" t="inlineStr">
        <is>
          <t>12.31.24</t>
        </is>
      </c>
      <c r="C39" s="51" t="inlineStr">
        <is>
          <t>R2899448,</t>
        </is>
      </c>
      <c r="D39" s="33" t="inlineStr">
        <is>
          <t>4604 4485 SKYLINE DRIVE</t>
        </is>
      </c>
      <c r="E39" s="33" t="inlineStr">
        <is>
          <t>4604 4485 SKYLINE DRIVE</t>
        </is>
      </c>
      <c r="F39" s="33" t="inlineStr">
        <is>
          <t>Burnaby, BC V5C 0J2</t>
        </is>
      </c>
      <c r="G39" s="129" t="n">
        <v>1038000</v>
      </c>
      <c r="H39" s="19" t="inlineStr">
        <is>
          <t>JASON JAEHO LEE</t>
        </is>
      </c>
      <c r="I39" s="19" t="inlineStr">
        <is>
          <t>O</t>
        </is>
      </c>
      <c r="J39" s="19" t="inlineStr">
        <is>
          <t>Y</t>
        </is>
      </c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102">
      <c r="A40" s="19" t="inlineStr">
        <is>
          <t>4.7.25</t>
        </is>
      </c>
      <c r="B40" s="24" t="n">
        <v>45748</v>
      </c>
      <c r="C40" s="49" t="inlineStr">
        <is>
          <t>R2911083,</t>
        </is>
      </c>
      <c r="D40" s="19" t="inlineStr">
        <is>
          <t>1102 2289 YUKON CRESCENT</t>
        </is>
      </c>
      <c r="E40" s="19" t="inlineStr">
        <is>
          <t xml:space="preserve">203 2533 PENTICTON STREET </t>
        </is>
      </c>
      <c r="F40" s="19" t="inlineStr">
        <is>
          <t>Vancouver, BC V5M 4T8</t>
        </is>
      </c>
      <c r="G40" s="113" t="n">
        <v>679000</v>
      </c>
      <c r="H40" s="19" t="inlineStr">
        <is>
          <t xml:space="preserve">YING ZHUANG | HUI ZHUANG </t>
        </is>
      </c>
      <c r="I40" s="19" t="inlineStr">
        <is>
          <t>O</t>
        </is>
      </c>
      <c r="J40" s="19" t="inlineStr">
        <is>
          <t>Y</t>
        </is>
      </c>
      <c r="K40" s="19" t="inlineStr">
        <is>
          <t>E</t>
        </is>
      </c>
    </row>
    <row r="41" ht="15.75" customHeight="1" s="102">
      <c r="B41" s="21" t="n"/>
      <c r="C41" s="49" t="n"/>
    </row>
    <row r="42" ht="15.75" customHeight="1" s="102">
      <c r="A42" s="19" t="inlineStr">
        <is>
          <t>4.7.25</t>
        </is>
      </c>
      <c r="B42" s="24" t="n">
        <v>45130</v>
      </c>
      <c r="C42" s="49" t="inlineStr">
        <is>
          <t>R2766903,</t>
        </is>
      </c>
      <c r="D42" s="19" t="inlineStr">
        <is>
          <t>506 2188 MADISON AVENUE</t>
        </is>
      </c>
      <c r="E42" s="19" t="inlineStr">
        <is>
          <t>506 2188 MADISON AVENUE</t>
        </is>
      </c>
      <c r="F42" s="19" t="inlineStr">
        <is>
          <t>Burnaby, BC V5C 0J8</t>
        </is>
      </c>
      <c r="G42" s="113" t="n">
        <v>998000</v>
      </c>
      <c r="H42" s="19" t="inlineStr">
        <is>
          <t>Home Owner</t>
        </is>
      </c>
      <c r="I42" s="19" t="inlineStr">
        <is>
          <t>O</t>
        </is>
      </c>
      <c r="J42" s="19" t="inlineStr">
        <is>
          <t>N</t>
        </is>
      </c>
      <c r="K42" s="19" t="inlineStr">
        <is>
          <t>T</t>
        </is>
      </c>
    </row>
    <row r="43" ht="15.75" customHeight="1" s="102">
      <c r="A43" s="19" t="inlineStr">
        <is>
          <t>4.7.25</t>
        </is>
      </c>
      <c r="B43" s="24" t="n">
        <v>45517</v>
      </c>
      <c r="C43" s="49" t="inlineStr">
        <is>
          <t>R2880722,</t>
        </is>
      </c>
      <c r="D43" s="19" t="inlineStr">
        <is>
          <t>608 2188 MADISON AVENUE</t>
        </is>
      </c>
      <c r="E43" s="19" t="inlineStr">
        <is>
          <t>608 2188 MADISON AVENUE</t>
        </is>
      </c>
      <c r="F43" s="19" t="inlineStr">
        <is>
          <t>Burnaby, BC V5C 0J8</t>
        </is>
      </c>
      <c r="G43" s="113" t="n">
        <v>849900</v>
      </c>
      <c r="H43" s="19" t="inlineStr">
        <is>
          <t>KEVIN KIU LOUIE | JULIE AU</t>
        </is>
      </c>
      <c r="I43" s="19" t="inlineStr">
        <is>
          <t>O</t>
        </is>
      </c>
      <c r="J43" s="19" t="inlineStr">
        <is>
          <t>N</t>
        </is>
      </c>
      <c r="K43" s="19" t="inlineStr">
        <is>
          <t>T</t>
        </is>
      </c>
    </row>
    <row r="44" ht="15.75" customHeight="1" s="102">
      <c r="B44" s="21" t="n"/>
    </row>
    <row r="45" ht="15.75" customHeight="1" s="102">
      <c r="A45" s="19" t="inlineStr">
        <is>
          <t xml:space="preserve">Within  </t>
        </is>
      </c>
      <c r="B45" s="21" t="inlineStr">
        <is>
          <t>06.19.25</t>
        </is>
      </c>
    </row>
    <row r="46" ht="15.75" customHeight="1" s="102">
      <c r="B46" s="21" t="n"/>
    </row>
    <row r="47" ht="15.75" customHeight="1" s="102">
      <c r="A47" s="19" t="inlineStr">
        <is>
          <t>*Avoiding Lumina (thind) towers</t>
        </is>
      </c>
      <c r="B47" s="21" t="n"/>
    </row>
    <row r="48" ht="15.75" customHeight="1" s="102">
      <c r="A48" s="19" t="inlineStr">
        <is>
          <t>2311 beta</t>
        </is>
      </c>
      <c r="B48" s="21" t="n"/>
    </row>
    <row r="49" ht="15.75" customHeight="1" s="102">
      <c r="A49" s="19" t="inlineStr">
        <is>
          <t>2351 beta</t>
        </is>
      </c>
      <c r="B49" s="21" t="n"/>
    </row>
    <row r="50" ht="15.75" customHeight="1" s="102">
      <c r="A50" s="19" t="inlineStr">
        <is>
          <t>2381 beta</t>
        </is>
      </c>
      <c r="B50" s="21" t="n"/>
    </row>
    <row r="51" ht="15.75" customHeight="1" s="102">
      <c r="A51" s="19" t="inlineStr">
        <is>
          <t>2288 alpha</t>
        </is>
      </c>
      <c r="B51" s="21" t="n"/>
    </row>
    <row r="52" ht="15.75" customHeight="1" s="102">
      <c r="B52" s="21" t="n"/>
    </row>
    <row r="53" ht="15.75" customHeight="1" s="102">
      <c r="A53" s="19" t="inlineStr">
        <is>
          <t xml:space="preserve">1 Bed </t>
        </is>
      </c>
      <c r="B53" s="21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</row>
    <row r="54" ht="15.75" customHeight="1" s="102">
      <c r="A54" s="19" t="inlineStr">
        <is>
          <t>April 2nd 2025 - July 1 2024</t>
        </is>
      </c>
      <c r="B54" s="21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</row>
    <row r="55" ht="15.75" customHeight="1" s="102">
      <c r="A55" s="19" t="inlineStr">
        <is>
          <t>4.2.25</t>
        </is>
      </c>
      <c r="B55" s="24" t="n">
        <v>45626</v>
      </c>
      <c r="C55" s="49" t="inlineStr">
        <is>
          <t>R2889027,</t>
        </is>
      </c>
      <c r="D55" s="19" t="inlineStr">
        <is>
          <t>1905 4433 ALASKA STREET</t>
        </is>
      </c>
      <c r="E55" s="19" t="inlineStr">
        <is>
          <t>1905 4433 ALASKA STREET</t>
        </is>
      </c>
      <c r="F55" s="19" t="inlineStr">
        <is>
          <t>Burnaby, BC V5C 5T3</t>
        </is>
      </c>
      <c r="G55" s="113" t="n">
        <v>729000</v>
      </c>
      <c r="H55" s="19" t="inlineStr">
        <is>
          <t>Home Owner</t>
        </is>
      </c>
      <c r="I55" s="21" t="inlineStr">
        <is>
          <t>V</t>
        </is>
      </c>
      <c r="J55" s="21" t="inlineStr">
        <is>
          <t>N</t>
        </is>
      </c>
      <c r="K55" s="21" t="inlineStr">
        <is>
          <t>E</t>
        </is>
      </c>
    </row>
    <row r="56" ht="15.75" customHeight="1" s="102">
      <c r="A56" s="19" t="inlineStr">
        <is>
          <t>4.2.25</t>
        </is>
      </c>
      <c r="B56" s="24" t="n">
        <v>45566</v>
      </c>
      <c r="C56" s="49" t="inlineStr">
        <is>
          <t>R2901779,</t>
        </is>
      </c>
      <c r="D56" s="19" t="inlineStr">
        <is>
          <t>603 1955 ALPHA WAY</t>
        </is>
      </c>
      <c r="E56" s="19" t="inlineStr">
        <is>
          <t>603 1955 ALPHA WAY</t>
        </is>
      </c>
      <c r="F56" s="19" t="inlineStr">
        <is>
          <t>Burnaby, BC V5C 0K6</t>
        </is>
      </c>
      <c r="G56" s="113" t="n">
        <v>628000</v>
      </c>
      <c r="H56" s="19" t="inlineStr">
        <is>
          <t>Home Owner</t>
        </is>
      </c>
      <c r="I56" s="21" t="inlineStr">
        <is>
          <t>T</t>
        </is>
      </c>
      <c r="J56" s="21" t="inlineStr">
        <is>
          <t>N</t>
        </is>
      </c>
      <c r="K56" s="21" t="inlineStr">
        <is>
          <t>E</t>
        </is>
      </c>
    </row>
    <row r="57" ht="15.75" customHeight="1" s="102">
      <c r="A57" s="19" t="inlineStr">
        <is>
          <t>4.2.25</t>
        </is>
      </c>
      <c r="B57" s="24" t="n">
        <v>45527</v>
      </c>
      <c r="C57" s="49" t="inlineStr">
        <is>
          <t>R2886157,</t>
        </is>
      </c>
      <c r="D57" s="19" t="inlineStr">
        <is>
          <t>905 1955 ALPHA WAY</t>
        </is>
      </c>
      <c r="E57" s="19" t="inlineStr">
        <is>
          <t>905 1955 ALPHA WAY</t>
        </is>
      </c>
      <c r="F57" s="19" t="inlineStr">
        <is>
          <t>Burnaby, BC V5C 0K6</t>
        </is>
      </c>
      <c r="G57" s="113" t="n">
        <v>669000</v>
      </c>
      <c r="H57" s="19" t="inlineStr">
        <is>
          <t>ELAINE JESSICA GIANG</t>
        </is>
      </c>
      <c r="I57" s="21" t="inlineStr">
        <is>
          <t>T</t>
        </is>
      </c>
      <c r="J57" s="21" t="inlineStr">
        <is>
          <t>N</t>
        </is>
      </c>
      <c r="K57" s="21" t="inlineStr">
        <is>
          <t>E</t>
        </is>
      </c>
    </row>
    <row r="58" ht="15.75" customHeight="1" s="102">
      <c r="A58" s="19" t="inlineStr">
        <is>
          <t>4.2.25</t>
        </is>
      </c>
      <c r="B58" s="24" t="n">
        <v>45614</v>
      </c>
      <c r="C58" s="49" t="inlineStr">
        <is>
          <t>R2912507,</t>
        </is>
      </c>
      <c r="D58" s="19" t="inlineStr">
        <is>
          <t>1108 1955 ALPHA WAY</t>
        </is>
      </c>
      <c r="E58" s="19" t="inlineStr">
        <is>
          <t>1108 1955 ALPHA WAY</t>
        </is>
      </c>
      <c r="F58" s="19" t="inlineStr">
        <is>
          <t>Burnaby, BC V5C 0K6</t>
        </is>
      </c>
      <c r="G58" s="113" t="n">
        <v>799999</v>
      </c>
      <c r="H58" s="19" t="inlineStr">
        <is>
          <t>Home Owner</t>
        </is>
      </c>
      <c r="I58" s="21" t="inlineStr">
        <is>
          <t>V</t>
        </is>
      </c>
      <c r="J58" s="21" t="inlineStr">
        <is>
          <t>N</t>
        </is>
      </c>
      <c r="K58" s="21" t="inlineStr">
        <is>
          <t>T</t>
        </is>
      </c>
    </row>
    <row r="59" ht="15.75" customHeight="1" s="102">
      <c r="A59" s="19" t="inlineStr">
        <is>
          <t>4.2.25</t>
        </is>
      </c>
      <c r="B59" s="24" t="n">
        <v>45589</v>
      </c>
      <c r="C59" s="49" t="inlineStr">
        <is>
          <t>R2886550,</t>
        </is>
      </c>
      <c r="D59" s="19" t="inlineStr">
        <is>
          <t>3711 1955 ALPHA WAY</t>
        </is>
      </c>
      <c r="E59" s="19" t="inlineStr">
        <is>
          <t>3711 1955 ALPHA WAY</t>
        </is>
      </c>
      <c r="F59" s="19" t="inlineStr">
        <is>
          <t>Burnaby, BC V5C 0K6</t>
        </is>
      </c>
      <c r="G59" s="113" t="n">
        <v>788000</v>
      </c>
      <c r="H59" s="19" t="inlineStr">
        <is>
          <t>Home Owner</t>
        </is>
      </c>
      <c r="I59" s="21" t="inlineStr">
        <is>
          <t>T</t>
        </is>
      </c>
      <c r="J59" s="21" t="inlineStr">
        <is>
          <t>N</t>
        </is>
      </c>
      <c r="K59" s="21" t="inlineStr">
        <is>
          <t>T</t>
        </is>
      </c>
    </row>
    <row r="60" ht="15.75" customHeight="1" s="102">
      <c r="A60" s="19" t="inlineStr">
        <is>
          <t>4.2.25</t>
        </is>
      </c>
      <c r="B60" s="80" t="n">
        <v>45605</v>
      </c>
      <c r="C60" s="81" t="inlineStr">
        <is>
          <t>R2831878,</t>
        </is>
      </c>
      <c r="D60" s="82" t="inlineStr">
        <is>
          <t>1102 2288 ALPHA AVENUE</t>
        </is>
      </c>
      <c r="E60" s="82" t="inlineStr">
        <is>
          <t>1102 2288 ALPHA AVENUE</t>
        </is>
      </c>
      <c r="F60" s="82" t="inlineStr">
        <is>
          <t>Burnaby, BC V5C 0L9</t>
        </is>
      </c>
      <c r="G60" s="130" t="n">
        <v>749800</v>
      </c>
      <c r="H60" s="82" t="inlineStr">
        <is>
          <t>Home Owner</t>
        </is>
      </c>
      <c r="I60" s="84" t="inlineStr">
        <is>
          <t>T</t>
        </is>
      </c>
      <c r="J60" s="84" t="inlineStr">
        <is>
          <t>N</t>
        </is>
      </c>
      <c r="K60" s="84" t="inlineStr">
        <is>
          <t>E</t>
        </is>
      </c>
    </row>
    <row r="61" ht="15.75" customHeight="1" s="102">
      <c r="A61" s="19" t="inlineStr">
        <is>
          <t>4.2.25</t>
        </is>
      </c>
      <c r="B61" s="80" t="n">
        <v>45566</v>
      </c>
      <c r="C61" s="81" t="inlineStr">
        <is>
          <t>R2901140,</t>
        </is>
      </c>
      <c r="D61" s="82" t="inlineStr">
        <is>
          <t>1306 2288 ALPHA AVENUE</t>
        </is>
      </c>
      <c r="E61" s="82" t="inlineStr">
        <is>
          <t>1306 2288 ALPHA AVENUE</t>
        </is>
      </c>
      <c r="F61" s="82" t="inlineStr">
        <is>
          <t>Burnaby, BC V5C 0L9</t>
        </is>
      </c>
      <c r="G61" s="130" t="n">
        <v>682000</v>
      </c>
      <c r="H61" s="82" t="inlineStr">
        <is>
          <t>HUO WEI CEN | LI YING YAN</t>
        </is>
      </c>
      <c r="I61" s="84" t="inlineStr">
        <is>
          <t>T</t>
        </is>
      </c>
      <c r="J61" s="84" t="inlineStr">
        <is>
          <t>N</t>
        </is>
      </c>
      <c r="K61" s="84" t="inlineStr">
        <is>
          <t>E</t>
        </is>
      </c>
    </row>
    <row r="62" ht="15.75" customHeight="1" s="102">
      <c r="A62" s="19" t="inlineStr">
        <is>
          <t>4.2.25</t>
        </is>
      </c>
      <c r="B62" s="24" t="n">
        <v>45575</v>
      </c>
      <c r="C62" s="49" t="inlineStr">
        <is>
          <t>R2906298,</t>
        </is>
      </c>
      <c r="D62" s="19" t="inlineStr">
        <is>
          <t>1405 2378 ALPHA AVENUE</t>
        </is>
      </c>
      <c r="E62" s="19" t="inlineStr">
        <is>
          <t>1405 2378 ALPHA AVENUE</t>
        </is>
      </c>
      <c r="F62" s="19" t="inlineStr">
        <is>
          <t>Burnaby, BC V5C 0K2</t>
        </is>
      </c>
      <c r="G62" s="113" t="n">
        <v>599000</v>
      </c>
      <c r="H62" s="19" t="inlineStr">
        <is>
          <t>Home Owner</t>
        </is>
      </c>
      <c r="I62" s="21" t="inlineStr">
        <is>
          <t>O</t>
        </is>
      </c>
      <c r="J62" s="21" t="inlineStr">
        <is>
          <t>N</t>
        </is>
      </c>
      <c r="K62" s="21" t="inlineStr">
        <is>
          <t>T</t>
        </is>
      </c>
    </row>
    <row r="63" ht="15.75" customHeight="1" s="102">
      <c r="A63" s="19" t="inlineStr">
        <is>
          <t>4.2.25</t>
        </is>
      </c>
      <c r="B63" s="24" t="n">
        <v>45614</v>
      </c>
      <c r="C63" s="49" t="inlineStr">
        <is>
          <t>R2934277,</t>
        </is>
      </c>
      <c r="D63" s="19" t="inlineStr">
        <is>
          <t>407 2041 BELLWOOD AVENUE</t>
        </is>
      </c>
      <c r="E63" s="19" t="inlineStr">
        <is>
          <t>407 2041 BELLWOOD AVENUE</t>
        </is>
      </c>
      <c r="F63" s="19" t="inlineStr">
        <is>
          <t>Burnaby, BC V5B 4V5</t>
        </is>
      </c>
      <c r="G63" s="113" t="n">
        <v>485000</v>
      </c>
      <c r="H63" s="19" t="inlineStr">
        <is>
          <t xml:space="preserve">SASSO SAVERIO </t>
        </is>
      </c>
      <c r="I63" s="21" t="inlineStr">
        <is>
          <t>V</t>
        </is>
      </c>
      <c r="J63" s="21" t="inlineStr">
        <is>
          <t>N</t>
        </is>
      </c>
      <c r="K63" s="21" t="inlineStr">
        <is>
          <t>T</t>
        </is>
      </c>
      <c r="L63" s="19" t="n"/>
    </row>
    <row r="64" ht="15.75" customHeight="1" s="102">
      <c r="A64" s="19" t="inlineStr">
        <is>
          <t>4.2.25</t>
        </is>
      </c>
      <c r="B64" s="80" t="n">
        <v>45545</v>
      </c>
      <c r="C64" s="81" t="inlineStr">
        <is>
          <t>R2883671,</t>
        </is>
      </c>
      <c r="D64" s="82" t="inlineStr">
        <is>
          <t>1903 2311 BETA AVENUE</t>
        </is>
      </c>
      <c r="E64" s="82" t="inlineStr">
        <is>
          <t>1903 2311 BETA AVENUE</t>
        </is>
      </c>
      <c r="F64" s="82" t="inlineStr">
        <is>
          <t>Burnaby, BC V5C 0M1</t>
        </is>
      </c>
      <c r="G64" s="130" t="n">
        <v>579900</v>
      </c>
      <c r="H64" s="82" t="inlineStr">
        <is>
          <t>HUBERT FOONG</t>
        </is>
      </c>
      <c r="I64" s="84" t="inlineStr">
        <is>
          <t>T</t>
        </is>
      </c>
      <c r="J64" s="84" t="inlineStr">
        <is>
          <t>N</t>
        </is>
      </c>
      <c r="K64" s="84" t="inlineStr">
        <is>
          <t>T</t>
        </is>
      </c>
      <c r="L64" s="82" t="n"/>
    </row>
    <row r="65" ht="15.75" customHeight="1" s="102">
      <c r="A65" s="19" t="inlineStr">
        <is>
          <t>4.2.25</t>
        </is>
      </c>
      <c r="B65" s="85" t="n">
        <v>45534</v>
      </c>
      <c r="C65" s="86" t="inlineStr">
        <is>
          <t>R2911017,</t>
        </is>
      </c>
      <c r="D65" s="87" t="inlineStr">
        <is>
          <t>2002 2311 BETA AVENUE</t>
        </is>
      </c>
      <c r="E65" s="87" t="inlineStr">
        <is>
          <t>2002 2311 BETA AVENUE</t>
        </is>
      </c>
      <c r="F65" s="87" t="inlineStr">
        <is>
          <t>Burnaby, BC V5C 0M1</t>
        </is>
      </c>
      <c r="G65" s="131" t="n">
        <v>649900</v>
      </c>
      <c r="H65" s="87" t="inlineStr">
        <is>
          <t>Home Owner</t>
        </is>
      </c>
      <c r="I65" s="89" t="inlineStr">
        <is>
          <t>V</t>
        </is>
      </c>
      <c r="J65" s="89" t="inlineStr">
        <is>
          <t>N</t>
        </is>
      </c>
      <c r="K65" s="89" t="inlineStr">
        <is>
          <t>T</t>
        </is>
      </c>
      <c r="L65" s="87" t="inlineStr">
        <is>
          <t>Realtor</t>
        </is>
      </c>
    </row>
    <row r="66" ht="15.75" customHeight="1" s="102">
      <c r="A66" s="19" t="inlineStr">
        <is>
          <t>4.2.25</t>
        </is>
      </c>
      <c r="B66" s="80" t="n">
        <v>45658</v>
      </c>
      <c r="C66" s="81" t="inlineStr">
        <is>
          <t>R2874538,</t>
        </is>
      </c>
      <c r="D66" s="82" t="inlineStr">
        <is>
          <t>1303 2351 BETA AVENUE</t>
        </is>
      </c>
      <c r="E66" s="82" t="inlineStr">
        <is>
          <t>1303 2351 BETA AVENUE</t>
        </is>
      </c>
      <c r="F66" s="82" t="inlineStr">
        <is>
          <t>Burnaby, BC V5C 0M2</t>
        </is>
      </c>
      <c r="G66" s="130" t="n">
        <v>579000</v>
      </c>
      <c r="H66" s="82" t="inlineStr">
        <is>
          <t>Home Owner</t>
        </is>
      </c>
      <c r="I66" s="84" t="inlineStr">
        <is>
          <t>T</t>
        </is>
      </c>
      <c r="J66" s="84" t="inlineStr">
        <is>
          <t>N</t>
        </is>
      </c>
      <c r="K66" s="84" t="inlineStr">
        <is>
          <t>T</t>
        </is>
      </c>
      <c r="L66" s="82" t="n"/>
    </row>
    <row r="67" ht="15.75" customHeight="1" s="102">
      <c r="A67" s="19" t="inlineStr">
        <is>
          <t>4.2.25</t>
        </is>
      </c>
      <c r="B67" s="80" t="n">
        <v>45748</v>
      </c>
      <c r="C67" s="81" t="inlineStr">
        <is>
          <t>R2912552,</t>
        </is>
      </c>
      <c r="D67" s="82" t="inlineStr">
        <is>
          <t>1605 2351 BETA AVENUE</t>
        </is>
      </c>
      <c r="E67" s="82" t="inlineStr">
        <is>
          <t>1605 2351 BETA AVENUE</t>
        </is>
      </c>
      <c r="F67" s="82" t="inlineStr">
        <is>
          <t>Burnaby, BC V5C 0M2</t>
        </is>
      </c>
      <c r="G67" s="130" t="n">
        <v>688000</v>
      </c>
      <c r="H67" s="82" t="inlineStr">
        <is>
          <t>Home Owner</t>
        </is>
      </c>
      <c r="I67" s="84" t="inlineStr">
        <is>
          <t>T</t>
        </is>
      </c>
      <c r="J67" s="84" t="inlineStr">
        <is>
          <t>N</t>
        </is>
      </c>
      <c r="K67" s="84" t="inlineStr">
        <is>
          <t>E</t>
        </is>
      </c>
      <c r="L67" s="82" t="n"/>
    </row>
    <row r="68" ht="15.75" customHeight="1" s="102">
      <c r="A68" s="19" t="inlineStr">
        <is>
          <t>4.2.25</t>
        </is>
      </c>
      <c r="B68" s="80" t="n">
        <v>45516</v>
      </c>
      <c r="C68" s="81" t="inlineStr">
        <is>
          <t>R2898576,</t>
        </is>
      </c>
      <c r="D68" s="82" t="inlineStr">
        <is>
          <t>2202 2351 BETA AVENUE</t>
        </is>
      </c>
      <c r="E68" s="82" t="inlineStr">
        <is>
          <t>2202 2351 BETA AVENUE</t>
        </is>
      </c>
      <c r="F68" s="82" t="inlineStr">
        <is>
          <t>Burnaby, BC V5C 0M2</t>
        </is>
      </c>
      <c r="G68" s="130" t="n">
        <v>570000</v>
      </c>
      <c r="H68" s="82" t="inlineStr">
        <is>
          <t>Home Owner</t>
        </is>
      </c>
      <c r="I68" s="84" t="inlineStr">
        <is>
          <t>V</t>
        </is>
      </c>
      <c r="J68" s="84" t="inlineStr">
        <is>
          <t>N</t>
        </is>
      </c>
      <c r="K68" s="84" t="inlineStr">
        <is>
          <t>T</t>
        </is>
      </c>
      <c r="L68" s="82" t="n"/>
    </row>
    <row r="69" ht="15.75" customHeight="1" s="102">
      <c r="A69" s="19" t="inlineStr">
        <is>
          <t>4.2.25</t>
        </is>
      </c>
      <c r="B69" s="80" t="n">
        <v>45547</v>
      </c>
      <c r="C69" s="81" t="inlineStr">
        <is>
          <t>R2857758,</t>
        </is>
      </c>
      <c r="D69" s="82" t="inlineStr">
        <is>
          <t>2403 2351 BETA AVENUE</t>
        </is>
      </c>
      <c r="E69" s="82" t="inlineStr">
        <is>
          <t>2403 2351 BETA AVENUE</t>
        </is>
      </c>
      <c r="F69" s="82" t="inlineStr">
        <is>
          <t>Burnaby, BC V5C 0M2</t>
        </is>
      </c>
      <c r="G69" s="130" t="n">
        <v>599900</v>
      </c>
      <c r="H69" s="82" t="inlineStr">
        <is>
          <t>Home Owner</t>
        </is>
      </c>
      <c r="I69" s="84" t="inlineStr">
        <is>
          <t>T</t>
        </is>
      </c>
      <c r="J69" s="84" t="inlineStr">
        <is>
          <t>N</t>
        </is>
      </c>
      <c r="K69" s="84" t="inlineStr">
        <is>
          <t>E</t>
        </is>
      </c>
      <c r="L69" s="82" t="n"/>
    </row>
    <row r="70" ht="15.75" customHeight="1" s="102">
      <c r="A70" s="19" t="inlineStr">
        <is>
          <t>4.2.25</t>
        </is>
      </c>
      <c r="B70" s="24" t="n">
        <v>45587</v>
      </c>
      <c r="C70" s="49" t="inlineStr">
        <is>
          <t>R2875002,</t>
        </is>
      </c>
      <c r="D70" s="19" t="inlineStr">
        <is>
          <t>2804 4650 BRENTWOOD BOULEVARD</t>
        </is>
      </c>
      <c r="E70" s="19" t="inlineStr">
        <is>
          <t>2804 4650 BRENTWOOD BOULEVARD</t>
        </is>
      </c>
      <c r="F70" s="19" t="inlineStr">
        <is>
          <t>Burnaby, BC V5C 0M3</t>
        </is>
      </c>
      <c r="G70" s="113" t="n">
        <v>679900</v>
      </c>
      <c r="H70" s="19" t="inlineStr">
        <is>
          <t>Home Owner</t>
        </is>
      </c>
      <c r="I70" s="21" t="inlineStr">
        <is>
          <t>T</t>
        </is>
      </c>
      <c r="J70" s="21" t="inlineStr">
        <is>
          <t>N</t>
        </is>
      </c>
      <c r="K70" s="21" t="inlineStr">
        <is>
          <t>T</t>
        </is>
      </c>
      <c r="L70" s="19" t="n"/>
    </row>
    <row r="71" ht="15.75" customHeight="1" s="102">
      <c r="A71" s="19" t="inlineStr">
        <is>
          <t>4.2.25</t>
        </is>
      </c>
      <c r="B71" s="24" t="n">
        <v>45597</v>
      </c>
      <c r="C71" s="49" t="inlineStr">
        <is>
          <t>R2876200,</t>
        </is>
      </c>
      <c r="D71" s="19" t="inlineStr">
        <is>
          <t>1201 4888 BRENTWOOD DRIVE</t>
        </is>
      </c>
      <c r="E71" s="19" t="inlineStr">
        <is>
          <t>1201 4888 BRENTWOOD DRIVE</t>
        </is>
      </c>
      <c r="F71" s="19" t="inlineStr">
        <is>
          <t>Burnaby, BC V5C 0C6</t>
        </is>
      </c>
      <c r="G71" s="113" t="n">
        <v>665000</v>
      </c>
      <c r="H71" s="19" t="inlineStr">
        <is>
          <t>JACKIE CHIU HSIANG CHEN</t>
        </is>
      </c>
      <c r="I71" s="21" t="inlineStr">
        <is>
          <t>T</t>
        </is>
      </c>
      <c r="J71" s="21" t="inlineStr">
        <is>
          <t>N</t>
        </is>
      </c>
      <c r="K71" s="21" t="inlineStr">
        <is>
          <t>T</t>
        </is>
      </c>
      <c r="L71" s="19" t="n"/>
    </row>
    <row r="72" ht="15.75" customHeight="1" s="102">
      <c r="A72" s="19" t="inlineStr">
        <is>
          <t>4.2.25</t>
        </is>
      </c>
      <c r="B72" s="72" t="n">
        <v>45510</v>
      </c>
      <c r="C72" s="61" t="inlineStr">
        <is>
          <t>R2903954,</t>
        </is>
      </c>
      <c r="D72" s="56" t="inlineStr">
        <is>
          <t>2305 4888 BRENTWOOD DRIVE</t>
        </is>
      </c>
      <c r="E72" s="56" t="inlineStr">
        <is>
          <t>2305 4888 BRENTWOOD DRIVE</t>
        </is>
      </c>
      <c r="F72" s="56" t="inlineStr">
        <is>
          <t>Burnaby, BC V5C 0C6</t>
        </is>
      </c>
      <c r="G72" s="125" t="n">
        <v>698800</v>
      </c>
      <c r="H72" s="56" t="inlineStr">
        <is>
          <t>SEYED ABDOLREZA KHATAMI | MAHSA ATTAR</t>
        </is>
      </c>
      <c r="I72" s="57" t="inlineStr">
        <is>
          <t>T</t>
        </is>
      </c>
      <c r="J72" s="57" t="inlineStr">
        <is>
          <t>N</t>
        </is>
      </c>
      <c r="K72" s="57" t="inlineStr">
        <is>
          <t>T</t>
        </is>
      </c>
      <c r="L72" s="57" t="inlineStr">
        <is>
          <t>Realtor</t>
        </is>
      </c>
    </row>
    <row r="73" ht="15.75" customHeight="1" s="102">
      <c r="A73" s="19" t="inlineStr">
        <is>
          <t>4.2.25</t>
        </is>
      </c>
      <c r="B73" s="24" t="n">
        <v>45650</v>
      </c>
      <c r="C73" s="49" t="inlineStr">
        <is>
          <t>R2914186,</t>
        </is>
      </c>
      <c r="D73" s="19" t="inlineStr">
        <is>
          <t>803 4182 DAWSON STREET</t>
        </is>
      </c>
      <c r="E73" s="19" t="inlineStr">
        <is>
          <t>803 4182 DAWSON STREET</t>
        </is>
      </c>
      <c r="F73" s="19" t="inlineStr">
        <is>
          <t>Burnaby, BC V5C 0A2</t>
        </is>
      </c>
      <c r="G73" s="113" t="n">
        <v>599999</v>
      </c>
      <c r="H73" s="19" t="inlineStr">
        <is>
          <t>Home Owner</t>
        </is>
      </c>
      <c r="I73" s="21" t="inlineStr">
        <is>
          <t>T</t>
        </is>
      </c>
      <c r="J73" s="21" t="inlineStr">
        <is>
          <t>N</t>
        </is>
      </c>
      <c r="K73" s="21" t="inlineStr">
        <is>
          <t>T</t>
        </is>
      </c>
      <c r="L73" s="19" t="n"/>
    </row>
    <row r="74" ht="15.75" customHeight="1" s="102">
      <c r="A74" s="19" t="inlineStr">
        <is>
          <t>4.2.25</t>
        </is>
      </c>
      <c r="B74" s="24" t="n">
        <v>45709</v>
      </c>
      <c r="C74" s="49" t="inlineStr">
        <is>
          <t>R2952140,</t>
        </is>
      </c>
      <c r="D74" s="19" t="inlineStr">
        <is>
          <t>807 4182 DAWSON STREET</t>
        </is>
      </c>
      <c r="E74" s="19" t="inlineStr">
        <is>
          <t>807 4182 DAWSON STREET</t>
        </is>
      </c>
      <c r="F74" s="19" t="inlineStr">
        <is>
          <t>Burnaby, BC V5C 0A2</t>
        </is>
      </c>
      <c r="G74" s="113" t="n">
        <v>595000</v>
      </c>
      <c r="H74" s="19" t="inlineStr">
        <is>
          <t>ROBERT TRUONG</t>
        </is>
      </c>
      <c r="I74" s="21" t="inlineStr">
        <is>
          <t>O</t>
        </is>
      </c>
      <c r="J74" s="21" t="inlineStr">
        <is>
          <t>Y</t>
        </is>
      </c>
      <c r="K74" s="21" t="inlineStr">
        <is>
          <t>T</t>
        </is>
      </c>
      <c r="L74" s="19" t="n"/>
    </row>
    <row r="75" ht="15.75" customHeight="1" s="102">
      <c r="A75" s="19" t="inlineStr">
        <is>
          <t>4.2.25</t>
        </is>
      </c>
      <c r="B75" s="24" t="n">
        <v>45689</v>
      </c>
      <c r="C75" s="49" t="inlineStr">
        <is>
          <t>R2936354,</t>
        </is>
      </c>
      <c r="D75" s="19" t="inlineStr">
        <is>
          <t>1501 4182 DAWSON STREET</t>
        </is>
      </c>
      <c r="E75" s="19" t="inlineStr">
        <is>
          <t>1501 4182 DAWSON STREET</t>
        </is>
      </c>
      <c r="F75" s="19" t="inlineStr">
        <is>
          <t>Burnaby, BC V5C 0A2</t>
        </is>
      </c>
      <c r="G75" s="113" t="n">
        <v>599000</v>
      </c>
      <c r="H75" s="19" t="inlineStr">
        <is>
          <t>FAHIM JABER</t>
        </is>
      </c>
      <c r="I75" s="21" t="inlineStr">
        <is>
          <t>O</t>
        </is>
      </c>
      <c r="J75" s="21" t="inlineStr">
        <is>
          <t>Y</t>
        </is>
      </c>
      <c r="K75" s="21" t="inlineStr">
        <is>
          <t>T</t>
        </is>
      </c>
      <c r="L75" s="19" t="n"/>
    </row>
    <row r="76" ht="15.75" customHeight="1" s="102">
      <c r="A76" s="19" t="inlineStr">
        <is>
          <t>4.2.25</t>
        </is>
      </c>
      <c r="B76" s="72" t="n">
        <v>45698</v>
      </c>
      <c r="C76" s="61" t="inlineStr">
        <is>
          <t>R2953915,</t>
        </is>
      </c>
      <c r="D76" s="56" t="inlineStr">
        <is>
          <t>701 4538 DAWSON STREET</t>
        </is>
      </c>
      <c r="E76" s="56" t="inlineStr">
        <is>
          <t>701 4538 DAWSON STREET</t>
        </is>
      </c>
      <c r="F76" s="56" t="inlineStr">
        <is>
          <t>Burnaby, BC V0V 0V0</t>
        </is>
      </c>
      <c r="G76" s="125" t="n">
        <v>579900</v>
      </c>
      <c r="H76" s="56" t="inlineStr">
        <is>
          <t>ANTHEM ALPHA ONE DEVELOPMENTS LP | ANTHEM ALPHA ONE DEVELOPMENTS GP LTD</t>
        </is>
      </c>
      <c r="I76" s="57" t="inlineStr">
        <is>
          <t>U</t>
        </is>
      </c>
      <c r="J76" s="57" t="inlineStr">
        <is>
          <t>N</t>
        </is>
      </c>
      <c r="K76" s="57" t="inlineStr">
        <is>
          <t>T</t>
        </is>
      </c>
      <c r="L76" s="57" t="inlineStr">
        <is>
          <t>Developer</t>
        </is>
      </c>
    </row>
    <row r="77" ht="15.75" customHeight="1" s="102">
      <c r="A77" s="19" t="inlineStr">
        <is>
          <t>4.2.25</t>
        </is>
      </c>
      <c r="B77" s="72" t="n">
        <v>45663</v>
      </c>
      <c r="C77" s="61" t="inlineStr">
        <is>
          <t>R2948528,</t>
        </is>
      </c>
      <c r="D77" s="56" t="inlineStr">
        <is>
          <t>704 4538 DAWSON STREET</t>
        </is>
      </c>
      <c r="E77" s="56" t="inlineStr">
        <is>
          <t>704 4538 DAWSON STREET</t>
        </is>
      </c>
      <c r="F77" s="56" t="inlineStr">
        <is>
          <t>Burnaby, BC V0V 0V0</t>
        </is>
      </c>
      <c r="G77" s="125" t="n">
        <v>659900</v>
      </c>
      <c r="H77" s="56" t="inlineStr">
        <is>
          <t>ANTHEM ALPHA ONE DEVELOPMENTS LP | ANTHEM ALPHA ONE DEVELOPMENTS GP LTD</t>
        </is>
      </c>
      <c r="I77" s="57" t="inlineStr">
        <is>
          <t>U</t>
        </is>
      </c>
      <c r="J77" s="57" t="inlineStr">
        <is>
          <t>N</t>
        </is>
      </c>
      <c r="K77" s="57" t="inlineStr">
        <is>
          <t>T</t>
        </is>
      </c>
      <c r="L77" s="57" t="inlineStr">
        <is>
          <t>Developer</t>
        </is>
      </c>
    </row>
    <row r="78" ht="15.75" customHeight="1" s="102">
      <c r="A78" s="19" t="inlineStr">
        <is>
          <t>4.2.25</t>
        </is>
      </c>
      <c r="B78" s="72" t="n">
        <v>45636</v>
      </c>
      <c r="C78" s="61" t="inlineStr">
        <is>
          <t>R2948584,</t>
        </is>
      </c>
      <c r="D78" s="56" t="inlineStr">
        <is>
          <t>1703 4538 DAWSON STREET</t>
        </is>
      </c>
      <c r="E78" s="56" t="inlineStr">
        <is>
          <t>1703 4538 DAWSON STREET</t>
        </is>
      </c>
      <c r="F78" s="56" t="inlineStr">
        <is>
          <t>Burnaby, BC V0V 0V0</t>
        </is>
      </c>
      <c r="G78" s="125" t="n">
        <v>669900</v>
      </c>
      <c r="H78" s="56" t="inlineStr">
        <is>
          <t>ANTHEM ALPHA ONE DEVELOPMENTS LP | ANTHEM ALPHA ONE DEVELOPMENTS GP LTD</t>
        </is>
      </c>
      <c r="I78" s="57" t="inlineStr">
        <is>
          <t>U</t>
        </is>
      </c>
      <c r="J78" s="57" t="inlineStr">
        <is>
          <t>N</t>
        </is>
      </c>
      <c r="K78" s="57" t="inlineStr">
        <is>
          <t>T</t>
        </is>
      </c>
      <c r="L78" s="57" t="inlineStr">
        <is>
          <t>Developer</t>
        </is>
      </c>
    </row>
    <row r="79" ht="15.75" customHeight="1" s="102">
      <c r="A79" s="19" t="inlineStr">
        <is>
          <t>4.2.25</t>
        </is>
      </c>
      <c r="B79" s="72" t="n">
        <v>45727</v>
      </c>
      <c r="C79" s="61" t="inlineStr">
        <is>
          <t>R2967494,</t>
        </is>
      </c>
      <c r="D79" s="56" t="inlineStr">
        <is>
          <t>2905 4538 DAWSON STREET</t>
        </is>
      </c>
      <c r="E79" s="56" t="inlineStr">
        <is>
          <t>2905 4538 DAWSON STREET</t>
        </is>
      </c>
      <c r="F79" s="56" t="inlineStr">
        <is>
          <t>Burnaby, BC V5C 5J6</t>
        </is>
      </c>
      <c r="G79" s="125" t="n">
        <v>799900</v>
      </c>
      <c r="H79" s="56" t="inlineStr">
        <is>
          <t>ANTHEM ALPHA ONE DEVELOPMENTS LP | ANTHEM ALPHA ONE DEVELOPMENTS GP LTD</t>
        </is>
      </c>
      <c r="I79" s="57" t="inlineStr">
        <is>
          <t>U</t>
        </is>
      </c>
      <c r="J79" s="57" t="inlineStr">
        <is>
          <t>N</t>
        </is>
      </c>
      <c r="K79" s="57" t="inlineStr">
        <is>
          <t>T</t>
        </is>
      </c>
      <c r="L79" s="57" t="inlineStr">
        <is>
          <t>Developer</t>
        </is>
      </c>
    </row>
    <row r="80" ht="15.75" customHeight="1" s="102">
      <c r="A80" s="19" t="inlineStr">
        <is>
          <t>4.2.25</t>
        </is>
      </c>
      <c r="B80" s="24" t="n">
        <v>45562</v>
      </c>
      <c r="C80" s="49" t="inlineStr">
        <is>
          <t>R2899386,</t>
        </is>
      </c>
      <c r="D80" s="19" t="inlineStr">
        <is>
          <t>503 1888 GILMORE AVENUE</t>
        </is>
      </c>
      <c r="E80" s="19" t="inlineStr">
        <is>
          <t>503 1888 GILMORE AVENUE</t>
        </is>
      </c>
      <c r="F80" s="19" t="inlineStr">
        <is>
          <t>Burnaby, BC V5C 0L2</t>
        </is>
      </c>
      <c r="G80" s="113" t="n">
        <v>569000</v>
      </c>
      <c r="H80" s="19" t="inlineStr">
        <is>
          <t>MATUS MAJERSKY</t>
        </is>
      </c>
      <c r="I80" s="21" t="inlineStr">
        <is>
          <t>T</t>
        </is>
      </c>
      <c r="J80" s="21" t="inlineStr">
        <is>
          <t>N</t>
        </is>
      </c>
      <c r="K80" s="21" t="inlineStr">
        <is>
          <t>E</t>
        </is>
      </c>
      <c r="L80" s="19" t="n"/>
    </row>
    <row r="81" ht="15.75" customHeight="1" s="102">
      <c r="A81" s="19" t="inlineStr">
        <is>
          <t>4.2.25</t>
        </is>
      </c>
      <c r="B81" s="24" t="n">
        <v>45619</v>
      </c>
      <c r="C81" s="49" t="inlineStr">
        <is>
          <t>R2878396,</t>
        </is>
      </c>
      <c r="D81" s="19" t="inlineStr">
        <is>
          <t>1303 1888 GILMORE AVENUE</t>
        </is>
      </c>
      <c r="E81" s="19" t="inlineStr">
        <is>
          <t>1303 1888 GILMORE AVENUE</t>
        </is>
      </c>
      <c r="F81" s="19" t="inlineStr">
        <is>
          <t>Burnaby, BC V5C 0L2</t>
        </is>
      </c>
      <c r="G81" s="113" t="n">
        <v>588000</v>
      </c>
      <c r="H81" s="19" t="inlineStr">
        <is>
          <t>LIANG XU</t>
        </is>
      </c>
      <c r="I81" s="21" t="inlineStr">
        <is>
          <t>T</t>
        </is>
      </c>
      <c r="J81" s="21" t="inlineStr">
        <is>
          <t>N</t>
        </is>
      </c>
      <c r="K81" s="21" t="inlineStr">
        <is>
          <t>T</t>
        </is>
      </c>
      <c r="L81" s="19" t="n"/>
    </row>
    <row r="82" ht="15.75" customHeight="1" s="102">
      <c r="A82" s="19" t="inlineStr">
        <is>
          <t>4.2.25</t>
        </is>
      </c>
      <c r="B82" s="24" t="n">
        <v>45658</v>
      </c>
      <c r="C82" s="49" t="inlineStr">
        <is>
          <t>R2906322,</t>
        </is>
      </c>
      <c r="D82" s="19" t="inlineStr">
        <is>
          <t>3109 1888 GILMORE AVENUE</t>
        </is>
      </c>
      <c r="E82" s="19" t="inlineStr">
        <is>
          <t>3109 1888 GILMORE AVENUE</t>
        </is>
      </c>
      <c r="F82" s="19" t="inlineStr">
        <is>
          <t>Burnaby, BC V5C 0L2</t>
        </is>
      </c>
      <c r="G82" s="113" t="n">
        <v>749900</v>
      </c>
      <c r="H82" s="19" t="inlineStr">
        <is>
          <t>Home Owner</t>
        </is>
      </c>
      <c r="I82" s="21" t="inlineStr">
        <is>
          <t>V</t>
        </is>
      </c>
      <c r="J82" s="21" t="inlineStr">
        <is>
          <t>N</t>
        </is>
      </c>
      <c r="K82" s="21" t="inlineStr">
        <is>
          <t>E</t>
        </is>
      </c>
      <c r="L82" s="19" t="n"/>
    </row>
    <row r="83" ht="15.75" customHeight="1" s="102">
      <c r="A83" s="19" t="inlineStr">
        <is>
          <t>4.2.25</t>
        </is>
      </c>
      <c r="B83" s="24" t="n">
        <v>45632</v>
      </c>
      <c r="C83" s="49" t="inlineStr">
        <is>
          <t>R2944006,</t>
        </is>
      </c>
      <c r="D83" s="19" t="inlineStr">
        <is>
          <t>1012 2186 GILMORE AVENUE</t>
        </is>
      </c>
      <c r="E83" s="19" t="inlineStr">
        <is>
          <t>1012 2186 GILMORE AVENUE</t>
        </is>
      </c>
      <c r="F83" s="19" t="inlineStr">
        <is>
          <t>Burnaby, BC V5C 0N7</t>
        </is>
      </c>
      <c r="G83" s="113" t="n">
        <v>618000</v>
      </c>
      <c r="H83" s="19" t="inlineStr">
        <is>
          <t>Home Owner</t>
        </is>
      </c>
      <c r="I83" s="21" t="inlineStr">
        <is>
          <t>V</t>
        </is>
      </c>
      <c r="J83" s="21" t="inlineStr">
        <is>
          <t>N</t>
        </is>
      </c>
      <c r="K83" s="21" t="inlineStr">
        <is>
          <t>T</t>
        </is>
      </c>
      <c r="L83" s="19" t="n"/>
    </row>
    <row r="84" ht="15.75" customHeight="1" s="102">
      <c r="A84" s="19" t="inlineStr">
        <is>
          <t>4.2.25</t>
        </is>
      </c>
      <c r="B84" s="24" t="n">
        <v>45594</v>
      </c>
      <c r="C84" s="49" t="inlineStr">
        <is>
          <t>R2908631,</t>
        </is>
      </c>
      <c r="D84" s="19" t="inlineStr">
        <is>
          <t>1412 2186 GILMORE AVENUE</t>
        </is>
      </c>
      <c r="E84" s="19" t="inlineStr">
        <is>
          <t>1412 2186 GILMORE AVENUE</t>
        </is>
      </c>
      <c r="F84" s="19" t="inlineStr">
        <is>
          <t>Burnaby, BC V5C 0N7</t>
        </is>
      </c>
      <c r="G84" s="113" t="n">
        <v>724900</v>
      </c>
      <c r="H84" s="19" t="inlineStr">
        <is>
          <t>FOROOGH POURANDI | HOSSEIN SHOKOUHI</t>
        </is>
      </c>
      <c r="I84" s="21" t="inlineStr">
        <is>
          <t>V</t>
        </is>
      </c>
      <c r="J84" s="21" t="inlineStr">
        <is>
          <t>N</t>
        </is>
      </c>
      <c r="K84" s="21" t="inlineStr">
        <is>
          <t>T</t>
        </is>
      </c>
      <c r="L84" s="19" t="n"/>
    </row>
    <row r="85" ht="15.75" customHeight="1" s="102">
      <c r="A85" s="19" t="inlineStr">
        <is>
          <t>4.2.25</t>
        </is>
      </c>
      <c r="B85" s="24" t="n">
        <v>45584</v>
      </c>
      <c r="C85" s="49" t="inlineStr">
        <is>
          <t>R2908564,</t>
        </is>
      </c>
      <c r="D85" s="19" t="inlineStr">
        <is>
          <t>2406 2186 GILMORE AVENUE</t>
        </is>
      </c>
      <c r="E85" s="19" t="inlineStr">
        <is>
          <t>2406 2186 GILMORE AVENUE</t>
        </is>
      </c>
      <c r="F85" s="19" t="inlineStr">
        <is>
          <t>Burnaby, BC V5C 0N7</t>
        </is>
      </c>
      <c r="G85" s="113" t="n">
        <v>698800</v>
      </c>
      <c r="H85" s="19" t="inlineStr">
        <is>
          <t>Home Owner</t>
        </is>
      </c>
      <c r="I85" s="21" t="inlineStr">
        <is>
          <t>V</t>
        </is>
      </c>
      <c r="J85" s="21" t="inlineStr">
        <is>
          <t>N</t>
        </is>
      </c>
      <c r="K85" s="21" t="inlineStr">
        <is>
          <t>T</t>
        </is>
      </c>
      <c r="L85" s="19" t="n"/>
    </row>
    <row r="86" ht="15.75" customHeight="1" s="102">
      <c r="A86" s="19" t="inlineStr">
        <is>
          <t>4.2.25</t>
        </is>
      </c>
      <c r="B86" s="72" t="n">
        <v>45538</v>
      </c>
      <c r="C86" s="61" t="inlineStr">
        <is>
          <t>R2908499,</t>
        </is>
      </c>
      <c r="D86" s="56" t="inlineStr">
        <is>
          <t>2607 2186 GILMORE AVENUE</t>
        </is>
      </c>
      <c r="E86" s="56" t="inlineStr">
        <is>
          <t>2607 2186 GILMORE AVENUE</t>
        </is>
      </c>
      <c r="F86" s="56" t="inlineStr">
        <is>
          <t>Burnaby, BC V5C 0N7</t>
        </is>
      </c>
      <c r="G86" s="125" t="n">
        <v>739000</v>
      </c>
      <c r="H86" s="56" t="inlineStr">
        <is>
          <t>Home Owner</t>
        </is>
      </c>
      <c r="I86" s="57" t="inlineStr">
        <is>
          <t>V</t>
        </is>
      </c>
      <c r="J86" s="57" t="inlineStr">
        <is>
          <t>N</t>
        </is>
      </c>
      <c r="K86" s="57" t="inlineStr">
        <is>
          <t>T</t>
        </is>
      </c>
      <c r="L86" s="57" t="inlineStr">
        <is>
          <t>Realtor</t>
        </is>
      </c>
    </row>
    <row r="87" ht="15.75" customHeight="1" s="102">
      <c r="A87" s="19" t="inlineStr">
        <is>
          <t>4.2.25</t>
        </is>
      </c>
      <c r="B87" s="24" t="n">
        <v>45658</v>
      </c>
      <c r="C87" s="49" t="inlineStr">
        <is>
          <t>R2908704,</t>
        </is>
      </c>
      <c r="D87" s="19" t="inlineStr">
        <is>
          <t>2706 2186 GILMORE AVENUE</t>
        </is>
      </c>
      <c r="E87" s="19" t="inlineStr">
        <is>
          <t>2706 2186 GILMORE AVENUE</t>
        </is>
      </c>
      <c r="F87" s="19" t="inlineStr">
        <is>
          <t>Burnaby, BC V5C 6A7</t>
        </is>
      </c>
      <c r="G87" s="113" t="n">
        <v>699000</v>
      </c>
      <c r="H87" s="19" t="inlineStr">
        <is>
          <t>Home Owner</t>
        </is>
      </c>
      <c r="I87" s="21" t="inlineStr">
        <is>
          <t>V</t>
        </is>
      </c>
      <c r="J87" s="21" t="inlineStr">
        <is>
          <t>N</t>
        </is>
      </c>
      <c r="K87" s="21" t="inlineStr">
        <is>
          <t>E</t>
        </is>
      </c>
      <c r="L87" s="19" t="n"/>
    </row>
    <row r="88" ht="15.75" customHeight="1" s="102">
      <c r="A88" s="19" t="inlineStr">
        <is>
          <t>4.2.25</t>
        </is>
      </c>
      <c r="B88" s="24" t="n">
        <v>45658</v>
      </c>
      <c r="C88" s="49" t="inlineStr">
        <is>
          <t>R2908755,</t>
        </is>
      </c>
      <c r="D88" s="19" t="inlineStr">
        <is>
          <t>2707 2186 GILMORE AVENUE</t>
        </is>
      </c>
      <c r="E88" s="19" t="inlineStr">
        <is>
          <t>2707 2186 GILMORE AVENUE</t>
        </is>
      </c>
      <c r="F88" s="19" t="inlineStr">
        <is>
          <t>Burnaby, BC V5C 6A7</t>
        </is>
      </c>
      <c r="G88" s="113" t="n">
        <v>699000</v>
      </c>
      <c r="H88" s="19" t="inlineStr">
        <is>
          <t>Home Owner</t>
        </is>
      </c>
      <c r="I88" s="21" t="inlineStr">
        <is>
          <t>V</t>
        </is>
      </c>
      <c r="J88" s="21" t="inlineStr">
        <is>
          <t>N</t>
        </is>
      </c>
      <c r="K88" s="21" t="inlineStr">
        <is>
          <t>E</t>
        </is>
      </c>
      <c r="L88" s="19" t="n"/>
    </row>
    <row r="89" ht="15.75" customHeight="1" s="102">
      <c r="A89" s="19" t="inlineStr">
        <is>
          <t>4.2.25</t>
        </is>
      </c>
      <c r="B89" s="24" t="n">
        <v>45566</v>
      </c>
      <c r="C89" s="49" t="inlineStr">
        <is>
          <t>R2908155,</t>
        </is>
      </c>
      <c r="D89" s="19" t="inlineStr">
        <is>
          <t>2901 2186 GILMORE AVENUE</t>
        </is>
      </c>
      <c r="E89" s="19" t="inlineStr">
        <is>
          <t>2901 2186 GILMORE AVENUE</t>
        </is>
      </c>
      <c r="F89" s="19" t="inlineStr">
        <is>
          <t>Burnaby, BC V5C 0N7</t>
        </is>
      </c>
      <c r="G89" s="113" t="n">
        <v>728000</v>
      </c>
      <c r="H89" s="19" t="inlineStr">
        <is>
          <t>Home Owner</t>
        </is>
      </c>
      <c r="I89" s="21" t="inlineStr">
        <is>
          <t>V</t>
        </is>
      </c>
      <c r="J89" s="21" t="inlineStr">
        <is>
          <t>N</t>
        </is>
      </c>
      <c r="K89" s="21" t="inlineStr">
        <is>
          <t>T</t>
        </is>
      </c>
      <c r="L89" s="19" t="n"/>
    </row>
    <row r="90" ht="15.75" customHeight="1" s="102">
      <c r="A90" s="19" t="inlineStr">
        <is>
          <t>4.2.25</t>
        </is>
      </c>
      <c r="B90" s="24" t="n">
        <v>45624</v>
      </c>
      <c r="C90" s="49" t="inlineStr">
        <is>
          <t>R2909186,</t>
        </is>
      </c>
      <c r="D90" s="19" t="inlineStr">
        <is>
          <t>2907 2186 GILMORE AVENUE</t>
        </is>
      </c>
      <c r="E90" s="19" t="inlineStr">
        <is>
          <t>2907 2186 GILMORE AVENUE</t>
        </is>
      </c>
      <c r="F90" s="19" t="inlineStr">
        <is>
          <t>Burnaby, BC V5C 6A7</t>
        </is>
      </c>
      <c r="G90" s="113" t="n">
        <v>649900</v>
      </c>
      <c r="H90" s="19" t="inlineStr">
        <is>
          <t>Home Owner</t>
        </is>
      </c>
      <c r="I90" s="21" t="inlineStr">
        <is>
          <t>V</t>
        </is>
      </c>
      <c r="J90" s="21" t="inlineStr">
        <is>
          <t>N</t>
        </is>
      </c>
      <c r="K90" s="21" t="inlineStr">
        <is>
          <t>T</t>
        </is>
      </c>
      <c r="L90" s="19" t="n"/>
    </row>
    <row r="91" ht="15.75" customHeight="1" s="102">
      <c r="A91" s="19" t="inlineStr">
        <is>
          <t>4.2.25</t>
        </is>
      </c>
      <c r="B91" s="24" t="n">
        <v>45573</v>
      </c>
      <c r="C91" s="49" t="inlineStr">
        <is>
          <t>R2859818,</t>
        </is>
      </c>
      <c r="D91" s="19" t="inlineStr">
        <is>
          <t>1202 5311 GORING STREET</t>
        </is>
      </c>
      <c r="E91" s="19" t="inlineStr">
        <is>
          <t>1202 5311 GORING STREET</t>
        </is>
      </c>
      <c r="F91" s="19" t="inlineStr">
        <is>
          <t>Burnaby, BC V5B 0B5</t>
        </is>
      </c>
      <c r="G91" s="113" t="n">
        <v>659800</v>
      </c>
      <c r="H91" s="19" t="inlineStr">
        <is>
          <t>Home Owner</t>
        </is>
      </c>
      <c r="I91" s="21" t="inlineStr">
        <is>
          <t>T</t>
        </is>
      </c>
      <c r="J91" s="21" t="inlineStr">
        <is>
          <t>N</t>
        </is>
      </c>
      <c r="K91" s="21" t="inlineStr">
        <is>
          <t>T</t>
        </is>
      </c>
      <c r="L91" s="19" t="n"/>
    </row>
    <row r="92" ht="15.75" customHeight="1" s="102">
      <c r="A92" s="19" t="inlineStr">
        <is>
          <t>4.2.25</t>
        </is>
      </c>
      <c r="B92" s="72" t="n">
        <v>45526</v>
      </c>
      <c r="C92" s="61" t="inlineStr">
        <is>
          <t>R2892158,</t>
        </is>
      </c>
      <c r="D92" s="56" t="inlineStr">
        <is>
          <t>1908 5311 GORING STREET</t>
        </is>
      </c>
      <c r="E92" s="56" t="inlineStr">
        <is>
          <t>1908 5311 GORING STREET</t>
        </is>
      </c>
      <c r="F92" s="56" t="inlineStr">
        <is>
          <t>Burnaby, BC V5B 0B5</t>
        </is>
      </c>
      <c r="G92" s="125" t="n">
        <v>678000</v>
      </c>
      <c r="H92" s="56" t="inlineStr">
        <is>
          <t>Home Owner</t>
        </is>
      </c>
      <c r="I92" s="57" t="inlineStr">
        <is>
          <t>O</t>
        </is>
      </c>
      <c r="J92" s="57" t="inlineStr">
        <is>
          <t>N</t>
        </is>
      </c>
      <c r="K92" s="57" t="inlineStr">
        <is>
          <t>T</t>
        </is>
      </c>
      <c r="L92" s="57" t="inlineStr">
        <is>
          <t>Realtor</t>
        </is>
      </c>
    </row>
    <row r="93" ht="15.75" customHeight="1" s="102">
      <c r="A93" s="19" t="inlineStr">
        <is>
          <t>4.2.25</t>
        </is>
      </c>
      <c r="B93" s="24" t="n">
        <v>45536</v>
      </c>
      <c r="C93" s="49" t="inlineStr">
        <is>
          <t>R2853490,</t>
        </is>
      </c>
      <c r="D93" s="19" t="inlineStr">
        <is>
          <t>2203 5333 GORING STREET</t>
        </is>
      </c>
      <c r="E93" s="19" t="inlineStr">
        <is>
          <t>2203 5333 GORING STREET</t>
        </is>
      </c>
      <c r="F93" s="19" t="inlineStr">
        <is>
          <t>Burnaby, BC V5B 3A2</t>
        </is>
      </c>
      <c r="G93" s="113" t="n">
        <v>669900</v>
      </c>
      <c r="H93" s="19" t="inlineStr">
        <is>
          <t>YUANLIN ZHU</t>
        </is>
      </c>
      <c r="I93" s="21" t="inlineStr">
        <is>
          <t>T</t>
        </is>
      </c>
      <c r="J93" s="21" t="inlineStr">
        <is>
          <t>N</t>
        </is>
      </c>
      <c r="K93" s="21" t="inlineStr">
        <is>
          <t>E</t>
        </is>
      </c>
      <c r="L93" s="19" t="n"/>
    </row>
    <row r="94" ht="15.75" customHeight="1" s="102">
      <c r="A94" s="19" t="inlineStr">
        <is>
          <t>4.2.25</t>
        </is>
      </c>
      <c r="B94" s="24" t="n">
        <v>45505</v>
      </c>
      <c r="C94" s="49" t="inlineStr">
        <is>
          <t>R2870961,</t>
        </is>
      </c>
      <c r="D94" s="19" t="inlineStr">
        <is>
          <t>2403 5333 GORING STREET</t>
        </is>
      </c>
      <c r="E94" s="19" t="inlineStr">
        <is>
          <t>2403 5333 GORING STREET</t>
        </is>
      </c>
      <c r="F94" s="19" t="inlineStr">
        <is>
          <t>Burnaby, BC V5B 3A2</t>
        </is>
      </c>
      <c r="G94" s="113" t="n">
        <v>678000</v>
      </c>
      <c r="H94" s="19" t="inlineStr">
        <is>
          <t>Home Owner</t>
        </is>
      </c>
      <c r="I94" s="21" t="inlineStr">
        <is>
          <t>V</t>
        </is>
      </c>
      <c r="J94" s="21" t="inlineStr">
        <is>
          <t>N</t>
        </is>
      </c>
      <c r="K94" s="21" t="inlineStr">
        <is>
          <t>E</t>
        </is>
      </c>
      <c r="L94" s="19" t="n"/>
    </row>
    <row r="95" ht="15.75" customHeight="1" s="102">
      <c r="A95" s="19" t="inlineStr">
        <is>
          <t>4.2.25</t>
        </is>
      </c>
      <c r="B95" s="72" t="n">
        <v>45635</v>
      </c>
      <c r="C95" s="61" t="inlineStr">
        <is>
          <t>R2868132,</t>
        </is>
      </c>
      <c r="D95" s="56" t="inlineStr">
        <is>
          <t>2603 5333 GORING STREET</t>
        </is>
      </c>
      <c r="E95" s="56" t="inlineStr">
        <is>
          <t>2603 5333 GORING STREET</t>
        </is>
      </c>
      <c r="F95" s="56" t="inlineStr">
        <is>
          <t>Burnaby, BC V5B 0B6</t>
        </is>
      </c>
      <c r="G95" s="125" t="n">
        <v>679000</v>
      </c>
      <c r="H95" s="56" t="inlineStr">
        <is>
          <t>Home Owner</t>
        </is>
      </c>
      <c r="I95" s="57" t="inlineStr">
        <is>
          <t>T</t>
        </is>
      </c>
      <c r="J95" s="57" t="inlineStr">
        <is>
          <t>N</t>
        </is>
      </c>
      <c r="K95" s="57" t="inlineStr">
        <is>
          <t>E</t>
        </is>
      </c>
      <c r="L95" s="57" t="inlineStr">
        <is>
          <t>Realtor</t>
        </is>
      </c>
    </row>
    <row r="96" ht="15.75" customHeight="1" s="102">
      <c r="A96" s="19" t="inlineStr">
        <is>
          <t>4.2.25</t>
        </is>
      </c>
      <c r="B96" s="24" t="n">
        <v>45474</v>
      </c>
      <c r="C96" s="49" t="inlineStr">
        <is>
          <t>R2864133,</t>
        </is>
      </c>
      <c r="D96" s="19" t="inlineStr">
        <is>
          <t>2708 5333 GORING STREET</t>
        </is>
      </c>
      <c r="E96" s="19" t="inlineStr">
        <is>
          <t>2708 5333 GORING STREET</t>
        </is>
      </c>
      <c r="F96" s="19" t="inlineStr">
        <is>
          <t>Burnaby, BC V5B 3A2</t>
        </is>
      </c>
      <c r="G96" s="113" t="n">
        <v>675000</v>
      </c>
      <c r="H96" s="19" t="inlineStr">
        <is>
          <t>Home Owner</t>
        </is>
      </c>
      <c r="I96" s="21" t="inlineStr">
        <is>
          <t>O</t>
        </is>
      </c>
      <c r="J96" s="21" t="inlineStr">
        <is>
          <t>N</t>
        </is>
      </c>
      <c r="K96" s="21" t="inlineStr">
        <is>
          <t>E</t>
        </is>
      </c>
      <c r="L96" s="19" t="n"/>
    </row>
    <row r="97" ht="15.75" customHeight="1" s="102">
      <c r="A97" s="19" t="inlineStr">
        <is>
          <t>4.2.25</t>
        </is>
      </c>
      <c r="B97" s="24" t="n">
        <v>45659</v>
      </c>
      <c r="C97" s="49" t="inlineStr">
        <is>
          <t>R2921192,</t>
        </is>
      </c>
      <c r="D97" s="19" t="inlineStr">
        <is>
          <t>508 4132 HALIFAX STREET</t>
        </is>
      </c>
      <c r="E97" s="19" t="inlineStr">
        <is>
          <t>508 4132 HALIFAX STREET</t>
        </is>
      </c>
      <c r="F97" s="19" t="inlineStr">
        <is>
          <t>Burnaby, BC V5C 6V1</t>
        </is>
      </c>
      <c r="G97" s="113" t="n">
        <v>699000</v>
      </c>
      <c r="H97" s="19" t="inlineStr">
        <is>
          <t>Home Owner</t>
        </is>
      </c>
      <c r="I97" s="21" t="inlineStr">
        <is>
          <t>O</t>
        </is>
      </c>
      <c r="J97" s="21" t="inlineStr">
        <is>
          <t>N</t>
        </is>
      </c>
      <c r="K97" s="21" t="inlineStr">
        <is>
          <t>T</t>
        </is>
      </c>
      <c r="L97" s="19" t="n"/>
    </row>
    <row r="98" ht="15.75" customHeight="1" s="102">
      <c r="A98" s="19" t="inlineStr">
        <is>
          <t>4.2.25</t>
        </is>
      </c>
      <c r="B98" s="24" t="n">
        <v>45643</v>
      </c>
      <c r="C98" s="49" t="inlineStr">
        <is>
          <t>R2930238,</t>
        </is>
      </c>
      <c r="D98" s="19" t="inlineStr">
        <is>
          <t>3309 4510 HALIFAX WAY</t>
        </is>
      </c>
      <c r="E98" s="19" t="inlineStr">
        <is>
          <t>3309 4510 HALIFAX WAY</t>
        </is>
      </c>
      <c r="F98" s="19" t="inlineStr">
        <is>
          <t>Burnaby, BC V5C 0K4</t>
        </is>
      </c>
      <c r="G98" s="113" t="n">
        <v>649000</v>
      </c>
      <c r="H98" s="19" t="inlineStr">
        <is>
          <t>MOSTAFA NAZARI MONTAZER GOLSA SAADI</t>
        </is>
      </c>
      <c r="I98" s="21" t="inlineStr">
        <is>
          <t>O</t>
        </is>
      </c>
      <c r="J98" s="21" t="inlineStr">
        <is>
          <t>N</t>
        </is>
      </c>
      <c r="K98" s="21" t="inlineStr">
        <is>
          <t>T</t>
        </is>
      </c>
      <c r="L98" s="19" t="n"/>
    </row>
    <row r="99" ht="15.75" customHeight="1" s="102">
      <c r="A99" s="19" t="inlineStr">
        <is>
          <t>4.2.25</t>
        </is>
      </c>
      <c r="B99" s="24" t="n">
        <v>45586</v>
      </c>
      <c r="C99" s="49" t="inlineStr">
        <is>
          <t>R2891241,</t>
        </is>
      </c>
      <c r="D99" s="19" t="inlineStr">
        <is>
          <t>3508 4510 HALIFAX WAY</t>
        </is>
      </c>
      <c r="E99" s="19" t="inlineStr">
        <is>
          <t>3508 4510 HALIFAX WAY</t>
        </is>
      </c>
      <c r="F99" s="19" t="inlineStr">
        <is>
          <t>Burnaby, BC V5C 0K4</t>
        </is>
      </c>
      <c r="G99" s="113" t="n">
        <v>675000</v>
      </c>
      <c r="H99" s="19" t="inlineStr">
        <is>
          <t>WESTRIDGE DEVELOPMENTS LTD.</t>
        </is>
      </c>
      <c r="I99" s="21" t="inlineStr">
        <is>
          <t>T</t>
        </is>
      </c>
      <c r="J99" s="21" t="inlineStr">
        <is>
          <t>N</t>
        </is>
      </c>
      <c r="K99" s="21" t="inlineStr">
        <is>
          <t>T</t>
        </is>
      </c>
      <c r="L99" s="19" t="n"/>
    </row>
    <row r="100" ht="15.75" customHeight="1" s="102">
      <c r="A100" s="19" t="inlineStr">
        <is>
          <t>4.2.25</t>
        </is>
      </c>
      <c r="B100" s="24" t="n">
        <v>45658</v>
      </c>
      <c r="C100" s="49" t="inlineStr">
        <is>
          <t>R2910906,</t>
        </is>
      </c>
      <c r="D100" s="19" t="inlineStr">
        <is>
          <t>1002 4465 JUNEAU STREET</t>
        </is>
      </c>
      <c r="E100" s="19" t="inlineStr">
        <is>
          <t>1002 4465 JUNEAU STREET</t>
        </is>
      </c>
      <c r="F100" s="19" t="inlineStr">
        <is>
          <t>Burnaby, BC V5C 0L8</t>
        </is>
      </c>
      <c r="G100" s="113" t="n">
        <v>615000</v>
      </c>
      <c r="H100" s="19" t="inlineStr">
        <is>
          <t>ZHI YU LIU</t>
        </is>
      </c>
      <c r="I100" s="21" t="inlineStr">
        <is>
          <t>V</t>
        </is>
      </c>
      <c r="J100" s="21" t="inlineStr">
        <is>
          <t>N</t>
        </is>
      </c>
      <c r="K100" s="21" t="inlineStr">
        <is>
          <t>E</t>
        </is>
      </c>
      <c r="L100" s="19" t="n"/>
    </row>
    <row r="101" ht="15.75" customHeight="1" s="102">
      <c r="A101" s="19" t="inlineStr">
        <is>
          <t>4.2.25</t>
        </is>
      </c>
      <c r="B101" s="24" t="n">
        <v>45609</v>
      </c>
      <c r="C101" s="49" t="inlineStr">
        <is>
          <t>R2914486,</t>
        </is>
      </c>
      <c r="D101" s="19" t="inlineStr">
        <is>
          <t>1102 4465 JUNEAU STREET</t>
        </is>
      </c>
      <c r="E101" s="19" t="inlineStr">
        <is>
          <t>1102 4465 JUNEAU STREET</t>
        </is>
      </c>
      <c r="F101" s="19" t="inlineStr">
        <is>
          <t>Burnaby, BC V5C 0L8</t>
        </is>
      </c>
      <c r="G101" s="113" t="n">
        <v>599000</v>
      </c>
      <c r="H101" s="19" t="inlineStr">
        <is>
          <t>Home Owner</t>
        </is>
      </c>
      <c r="I101" s="21" t="inlineStr">
        <is>
          <t>V</t>
        </is>
      </c>
      <c r="J101" s="21" t="inlineStr">
        <is>
          <t>N</t>
        </is>
      </c>
      <c r="K101" s="21" t="inlineStr">
        <is>
          <t>T</t>
        </is>
      </c>
      <c r="L101" s="19" t="n"/>
    </row>
    <row r="102" ht="15.75" customHeight="1" s="102">
      <c r="A102" s="19" t="inlineStr">
        <is>
          <t>4.2.25</t>
        </is>
      </c>
      <c r="B102" s="24" t="n">
        <v>45647</v>
      </c>
      <c r="C102" s="49" t="inlineStr">
        <is>
          <t>R2920596,</t>
        </is>
      </c>
      <c r="D102" s="19" t="inlineStr">
        <is>
          <t>902 4488 JUNEAU STREET</t>
        </is>
      </c>
      <c r="E102" s="19" t="inlineStr">
        <is>
          <t>902 4488 JUNEAU STREET</t>
        </is>
      </c>
      <c r="F102" s="19" t="inlineStr">
        <is>
          <t>Burnaby, BC V5C 0M4</t>
        </is>
      </c>
      <c r="G102" s="113" t="n">
        <v>599000</v>
      </c>
      <c r="H102" s="19" t="inlineStr">
        <is>
          <t>Home Owner</t>
        </is>
      </c>
      <c r="I102" s="21" t="inlineStr">
        <is>
          <t>O</t>
        </is>
      </c>
      <c r="J102" s="21" t="inlineStr">
        <is>
          <t>N</t>
        </is>
      </c>
      <c r="K102" s="21" t="inlineStr">
        <is>
          <t>E</t>
        </is>
      </c>
      <c r="L102" s="19" t="n"/>
    </row>
    <row r="103" ht="15.75" customHeight="1" s="102">
      <c r="A103" s="19" t="inlineStr">
        <is>
          <t>4.2.25</t>
        </is>
      </c>
      <c r="B103" s="24" t="n">
        <v>45682</v>
      </c>
      <c r="C103" s="49" t="inlineStr">
        <is>
          <t>R2938786,</t>
        </is>
      </c>
      <c r="D103" s="19" t="inlineStr">
        <is>
          <t>2201 4168 LOUGHEED HIGHWAY</t>
        </is>
      </c>
      <c r="E103" s="19" t="inlineStr">
        <is>
          <t>902-5933 COONEY RD</t>
        </is>
      </c>
      <c r="F103" s="19" t="inlineStr">
        <is>
          <t>Richmond, BC V6X 4H3</t>
        </is>
      </c>
      <c r="G103" s="113" t="n">
        <v>649000</v>
      </c>
      <c r="H103" s="19" t="inlineStr">
        <is>
          <t>QING DE LI</t>
        </is>
      </c>
      <c r="I103" s="21" t="inlineStr">
        <is>
          <t>V</t>
        </is>
      </c>
      <c r="J103" s="21" t="inlineStr">
        <is>
          <t>Y</t>
        </is>
      </c>
      <c r="K103" s="21" t="inlineStr">
        <is>
          <t>T</t>
        </is>
      </c>
      <c r="L103" s="19" t="n"/>
    </row>
    <row r="104" ht="15.75" customHeight="1" s="102">
      <c r="A104" s="19" t="inlineStr">
        <is>
          <t>4.2.25</t>
        </is>
      </c>
      <c r="B104" s="24" t="n">
        <v>45491</v>
      </c>
      <c r="C104" s="49" t="inlineStr">
        <is>
          <t>R2891582,</t>
        </is>
      </c>
      <c r="D104" s="19" t="inlineStr">
        <is>
          <t>505 4720 LOUGHEED HIGHWAY</t>
        </is>
      </c>
      <c r="E104" s="19" t="inlineStr">
        <is>
          <t>505 4720 LOUGHEED HIGHWAY</t>
        </is>
      </c>
      <c r="F104" s="19" t="inlineStr">
        <is>
          <t>Vancouver, BC V5C 0M8</t>
        </is>
      </c>
      <c r="G104" s="113" t="n">
        <v>598000</v>
      </c>
      <c r="H104" s="19" t="inlineStr">
        <is>
          <t>Home Owner</t>
        </is>
      </c>
      <c r="I104" s="21" t="inlineStr">
        <is>
          <t>O</t>
        </is>
      </c>
      <c r="J104" s="21" t="inlineStr">
        <is>
          <t>N</t>
        </is>
      </c>
      <c r="K104" s="21" t="inlineStr">
        <is>
          <t>T</t>
        </is>
      </c>
      <c r="L104" s="19" t="n"/>
    </row>
    <row r="105" ht="15.75" customHeight="1" s="102">
      <c r="A105" s="19" t="inlineStr">
        <is>
          <t>4.2.25</t>
        </is>
      </c>
      <c r="B105" s="24" t="n">
        <v>45658</v>
      </c>
      <c r="C105" s="49" t="inlineStr">
        <is>
          <t>R2910918,</t>
        </is>
      </c>
      <c r="D105" s="19" t="inlineStr">
        <is>
          <t>1303 4720 LOUGHEED HIGHWAY</t>
        </is>
      </c>
      <c r="E105" s="19" t="inlineStr">
        <is>
          <t>1303 4720 LOUGHEED HIGHWAY</t>
        </is>
      </c>
      <c r="F105" s="19" t="inlineStr">
        <is>
          <t>Burnaby, BC V5C 0M8</t>
        </is>
      </c>
      <c r="G105" s="113" t="n">
        <v>639000</v>
      </c>
      <c r="H105" s="19" t="inlineStr">
        <is>
          <t>Home Owner</t>
        </is>
      </c>
      <c r="I105" s="21" t="inlineStr">
        <is>
          <t>O</t>
        </is>
      </c>
      <c r="J105" s="21" t="inlineStr">
        <is>
          <t>N</t>
        </is>
      </c>
      <c r="K105" s="21" t="inlineStr">
        <is>
          <t>E</t>
        </is>
      </c>
      <c r="L105" s="19" t="n"/>
    </row>
    <row r="106" ht="15.75" customHeight="1" s="102">
      <c r="A106" s="19" t="inlineStr">
        <is>
          <t>4.2.25</t>
        </is>
      </c>
      <c r="B106" s="24" t="n">
        <v>45678</v>
      </c>
      <c r="C106" s="49" t="inlineStr">
        <is>
          <t>R2926689,</t>
        </is>
      </c>
      <c r="D106" s="19" t="inlineStr">
        <is>
          <t>2007 4720 LOUGHEED HIGHWAY</t>
        </is>
      </c>
      <c r="E106" s="19" t="inlineStr">
        <is>
          <t>2007 4720 LOUGHEED HIGHWAY</t>
        </is>
      </c>
      <c r="F106" s="19" t="inlineStr">
        <is>
          <t>Burnaby, BC V5C 0M8</t>
        </is>
      </c>
      <c r="G106" s="113" t="n">
        <v>678800</v>
      </c>
      <c r="H106" s="19" t="inlineStr">
        <is>
          <t>Home Owner</t>
        </is>
      </c>
      <c r="I106" s="21" t="inlineStr">
        <is>
          <t>O</t>
        </is>
      </c>
      <c r="J106" s="21" t="inlineStr">
        <is>
          <t>N</t>
        </is>
      </c>
      <c r="K106" s="21" t="inlineStr">
        <is>
          <t>T</t>
        </is>
      </c>
      <c r="L106" s="19" t="n"/>
    </row>
    <row r="107" ht="15.75" customHeight="1" s="102">
      <c r="A107" s="19" t="inlineStr">
        <is>
          <t>4.2.25</t>
        </is>
      </c>
      <c r="B107" s="24" t="n">
        <v>45611</v>
      </c>
      <c r="C107" s="49" t="inlineStr">
        <is>
          <t>R2856424,</t>
        </is>
      </c>
      <c r="D107" s="19" t="inlineStr">
        <is>
          <t>2512 4720 LOUGHEED HIGHWAY</t>
        </is>
      </c>
      <c r="E107" s="19" t="inlineStr">
        <is>
          <t>2512 4720 LOUGHEED HIGHWAY</t>
        </is>
      </c>
      <c r="F107" s="19" t="inlineStr">
        <is>
          <t>Burnaby, BC V5C 0M8</t>
        </is>
      </c>
      <c r="G107" s="113" t="n">
        <v>659000</v>
      </c>
      <c r="H107" s="19" t="inlineStr">
        <is>
          <t>Home Owner</t>
        </is>
      </c>
      <c r="I107" s="21" t="inlineStr">
        <is>
          <t>V</t>
        </is>
      </c>
      <c r="J107" s="21" t="inlineStr">
        <is>
          <t>N</t>
        </is>
      </c>
      <c r="K107" s="21" t="inlineStr">
        <is>
          <t>E</t>
        </is>
      </c>
      <c r="L107" s="19" t="n"/>
    </row>
    <row r="108" ht="15.75" customHeight="1" s="102">
      <c r="A108" s="19" t="inlineStr">
        <is>
          <t>4.2.25</t>
        </is>
      </c>
      <c r="B108" s="24" t="n">
        <v>45547</v>
      </c>
      <c r="C108" s="49" t="inlineStr">
        <is>
          <t>R2893801,</t>
        </is>
      </c>
      <c r="D108" s="19" t="inlineStr">
        <is>
          <t>3201 4720 LOUGHEED HIGHWAY</t>
        </is>
      </c>
      <c r="E108" s="19" t="inlineStr">
        <is>
          <t>3201 4720 LOUGHEED HIGHWAY</t>
        </is>
      </c>
      <c r="F108" s="19" t="inlineStr">
        <is>
          <t>Burnaby, BC V5C 0M8</t>
        </is>
      </c>
      <c r="G108" s="113" t="n">
        <v>649900</v>
      </c>
      <c r="H108" s="19" t="inlineStr">
        <is>
          <t>DOUGLAS GORDON MURPHY | NADIA MURPHY</t>
        </is>
      </c>
      <c r="I108" s="21" t="inlineStr">
        <is>
          <t>T</t>
        </is>
      </c>
      <c r="J108" s="21" t="inlineStr">
        <is>
          <t>N</t>
        </is>
      </c>
      <c r="K108" s="21" t="inlineStr">
        <is>
          <t>T</t>
        </is>
      </c>
      <c r="L108" s="19" t="n"/>
    </row>
    <row r="109" ht="15.75" customHeight="1" s="102">
      <c r="A109" s="19" t="inlineStr">
        <is>
          <t>4.2.25</t>
        </is>
      </c>
      <c r="B109" s="24" t="n">
        <v>45613</v>
      </c>
      <c r="C109" s="49" t="inlineStr">
        <is>
          <t>R2884431,</t>
        </is>
      </c>
      <c r="D109" s="19" t="inlineStr">
        <is>
          <t>4305 4720 LOUGHEED HIGHWAY</t>
        </is>
      </c>
      <c r="E109" s="19" t="inlineStr">
        <is>
          <t>4305 4720 LOUGHEED HIGHWAY</t>
        </is>
      </c>
      <c r="F109" s="19" t="inlineStr">
        <is>
          <t>Burnaby, BC V5C 0M8</t>
        </is>
      </c>
      <c r="G109" s="113" t="n">
        <v>698000</v>
      </c>
      <c r="H109" s="19" t="inlineStr">
        <is>
          <t>PAL MANAGEMENT LTD.</t>
        </is>
      </c>
      <c r="I109" s="21" t="inlineStr">
        <is>
          <t>O</t>
        </is>
      </c>
      <c r="J109" s="21" t="inlineStr">
        <is>
          <t>N</t>
        </is>
      </c>
      <c r="K109" s="21" t="inlineStr">
        <is>
          <t>E</t>
        </is>
      </c>
      <c r="L109" s="19" t="n"/>
    </row>
    <row r="110" ht="15.75" customHeight="1" s="102">
      <c r="A110" s="19" t="inlineStr">
        <is>
          <t>4.2.25</t>
        </is>
      </c>
      <c r="B110" s="24" t="n">
        <v>45561</v>
      </c>
      <c r="C110" s="49" t="inlineStr">
        <is>
          <t>R2911838,</t>
        </is>
      </c>
      <c r="D110" s="19" t="inlineStr">
        <is>
          <t>1407 4730 LOUGHEED HIGHWAY</t>
        </is>
      </c>
      <c r="E110" s="19" t="inlineStr">
        <is>
          <t>1407 4730 LOUGHEED HIGHWAY</t>
        </is>
      </c>
      <c r="F110" s="19" t="inlineStr">
        <is>
          <t>Burnaby, BC V5C 0M9</t>
        </is>
      </c>
      <c r="G110" s="113" t="n">
        <v>858000</v>
      </c>
      <c r="H110" s="19" t="inlineStr">
        <is>
          <t>Home Owner</t>
        </is>
      </c>
      <c r="I110" s="21" t="inlineStr">
        <is>
          <t>T</t>
        </is>
      </c>
      <c r="J110" s="21" t="inlineStr">
        <is>
          <t>N</t>
        </is>
      </c>
      <c r="K110" s="21" t="inlineStr">
        <is>
          <t>T</t>
        </is>
      </c>
      <c r="L110" s="19" t="n"/>
    </row>
    <row r="111" ht="15.75" customHeight="1" s="102">
      <c r="A111" s="19" t="inlineStr">
        <is>
          <t>4.2.25</t>
        </is>
      </c>
      <c r="B111" s="72" t="n">
        <v>45573</v>
      </c>
      <c r="C111" s="61" t="inlineStr">
        <is>
          <t>R2907828,</t>
        </is>
      </c>
      <c r="D111" s="56" t="inlineStr">
        <is>
          <t>2609 4730 LOUGHEED HIGHWAY</t>
        </is>
      </c>
      <c r="E111" s="56" t="inlineStr">
        <is>
          <t>2609 4730 LOUGHEED HIGHWAY</t>
        </is>
      </c>
      <c r="F111" s="56" t="inlineStr">
        <is>
          <t>Burnaby, BC V5C 0M9</t>
        </is>
      </c>
      <c r="G111" s="125" t="n">
        <v>649000</v>
      </c>
      <c r="H111" s="56" t="inlineStr">
        <is>
          <t>TSUNG CHIH YANG</t>
        </is>
      </c>
      <c r="I111" s="57" t="inlineStr">
        <is>
          <t>T</t>
        </is>
      </c>
      <c r="J111" s="57" t="inlineStr">
        <is>
          <t>N</t>
        </is>
      </c>
      <c r="K111" s="57" t="inlineStr">
        <is>
          <t>T</t>
        </is>
      </c>
      <c r="L111" s="57" t="inlineStr">
        <is>
          <t>Realtor</t>
        </is>
      </c>
    </row>
    <row r="112" ht="15.75" customHeight="1" s="102">
      <c r="A112" s="19" t="inlineStr">
        <is>
          <t>4.2.25</t>
        </is>
      </c>
      <c r="B112" s="72" t="n">
        <v>45531</v>
      </c>
      <c r="C112" s="61" t="inlineStr">
        <is>
          <t>R2913183,</t>
        </is>
      </c>
      <c r="D112" s="56" t="inlineStr">
        <is>
          <t>2801 4730 LOUGHEED HIGHWAY</t>
        </is>
      </c>
      <c r="E112" s="56" t="inlineStr">
        <is>
          <t>2801 4730 LOUGHEED HIGHWAY</t>
        </is>
      </c>
      <c r="F112" s="56" t="inlineStr">
        <is>
          <t>Burnaby, BC V5C 4A8</t>
        </is>
      </c>
      <c r="G112" s="125" t="n">
        <v>645000</v>
      </c>
      <c r="H112" s="56" t="inlineStr">
        <is>
          <t>Home Owner</t>
        </is>
      </c>
      <c r="I112" s="57" t="inlineStr">
        <is>
          <t>O</t>
        </is>
      </c>
      <c r="J112" s="57" t="inlineStr">
        <is>
          <t>N</t>
        </is>
      </c>
      <c r="K112" s="57" t="inlineStr">
        <is>
          <t>T</t>
        </is>
      </c>
      <c r="L112" s="56" t="n"/>
    </row>
    <row r="113" ht="15.75" customHeight="1" s="102">
      <c r="A113" s="19" t="inlineStr">
        <is>
          <t>4.2.25</t>
        </is>
      </c>
      <c r="B113" s="24" t="n">
        <v>45709</v>
      </c>
      <c r="C113" s="49" t="inlineStr">
        <is>
          <t>R2942026,</t>
        </is>
      </c>
      <c r="D113" s="19" t="inlineStr">
        <is>
          <t>706 4880 LOUGHEED HIGHWAY</t>
        </is>
      </c>
      <c r="E113" s="19" t="inlineStr">
        <is>
          <t>706 4880 LOUGHEED HIGHWAY</t>
        </is>
      </c>
      <c r="F113" s="19" t="inlineStr">
        <is>
          <t>Burnaby, BC V5C 0N1</t>
        </is>
      </c>
      <c r="G113" s="113" t="n">
        <v>629000</v>
      </c>
      <c r="H113" s="19" t="inlineStr">
        <is>
          <t>Home Owner</t>
        </is>
      </c>
      <c r="I113" s="21" t="inlineStr">
        <is>
          <t>V</t>
        </is>
      </c>
      <c r="J113" s="21" t="inlineStr">
        <is>
          <t>N</t>
        </is>
      </c>
      <c r="K113" s="21" t="inlineStr">
        <is>
          <t>T</t>
        </is>
      </c>
      <c r="L113" s="19" t="n"/>
    </row>
    <row r="114" ht="15.75" customHeight="1" s="102">
      <c r="A114" s="19" t="inlineStr">
        <is>
          <t>4.2.25</t>
        </is>
      </c>
      <c r="B114" s="24" t="n">
        <v>45547</v>
      </c>
      <c r="C114" s="49" t="inlineStr">
        <is>
          <t>R2891385,</t>
        </is>
      </c>
      <c r="D114" s="19" t="inlineStr">
        <is>
          <t>1105 4880 LOUGHEED HIGHWAY</t>
        </is>
      </c>
      <c r="E114" s="19" t="inlineStr">
        <is>
          <t>1105 4880 LOUGHEED HIGHWAY</t>
        </is>
      </c>
      <c r="F114" s="19" t="inlineStr">
        <is>
          <t>Burnaby, BC V5C 0N1</t>
        </is>
      </c>
      <c r="G114" s="113" t="n">
        <v>588000</v>
      </c>
      <c r="H114" s="19" t="inlineStr">
        <is>
          <t>HUNTER WEI-SHUN WANG | MAIKO HSIEH | KIN YUEN CHENG</t>
        </is>
      </c>
      <c r="I114" s="21" t="inlineStr">
        <is>
          <t>V</t>
        </is>
      </c>
      <c r="J114" s="21" t="inlineStr">
        <is>
          <t>N</t>
        </is>
      </c>
      <c r="K114" s="21" t="inlineStr">
        <is>
          <t>T</t>
        </is>
      </c>
      <c r="L114" s="19" t="n"/>
    </row>
    <row r="115" ht="15.75" customHeight="1" s="102">
      <c r="A115" s="19" t="inlineStr">
        <is>
          <t>4.2.25</t>
        </is>
      </c>
      <c r="B115" s="72" t="n">
        <v>45558</v>
      </c>
      <c r="C115" s="61" t="inlineStr">
        <is>
          <t>R2887411,</t>
        </is>
      </c>
      <c r="D115" s="56" t="inlineStr">
        <is>
          <t>1501 4880 LOUGHEED HIGHWAY</t>
        </is>
      </c>
      <c r="E115" s="56" t="inlineStr">
        <is>
          <t>1501 4880 LOUGHEED HIGHWAY</t>
        </is>
      </c>
      <c r="F115" s="56" t="inlineStr">
        <is>
          <t>Burnaby, BC V5C 0N1</t>
        </is>
      </c>
      <c r="G115" s="125" t="n">
        <v>748000</v>
      </c>
      <c r="H115" s="56" t="inlineStr">
        <is>
          <t>Home Owner</t>
        </is>
      </c>
      <c r="I115" s="57" t="inlineStr">
        <is>
          <t>V</t>
        </is>
      </c>
      <c r="J115" s="57" t="inlineStr">
        <is>
          <t>N</t>
        </is>
      </c>
      <c r="K115" s="57" t="inlineStr">
        <is>
          <t>T</t>
        </is>
      </c>
      <c r="L115" s="56" t="n"/>
    </row>
    <row r="116" ht="15.75" customHeight="1" s="102">
      <c r="A116" s="19" t="inlineStr">
        <is>
          <t>4.2.25</t>
        </is>
      </c>
      <c r="B116" s="24" t="n">
        <v>45658</v>
      </c>
      <c r="C116" s="49" t="inlineStr">
        <is>
          <t>R2868780,</t>
        </is>
      </c>
      <c r="D116" s="19" t="inlineStr">
        <is>
          <t>3705 4880 LOUGHEED HIGHWAY</t>
        </is>
      </c>
      <c r="E116" s="19" t="inlineStr">
        <is>
          <t>3705 4880 LOUGHEED HIGHWAY</t>
        </is>
      </c>
      <c r="F116" s="19" t="inlineStr">
        <is>
          <t>Burnaby, BC V5C 0N1</t>
        </is>
      </c>
      <c r="G116" s="113" t="n">
        <v>799000</v>
      </c>
      <c r="H116" s="19" t="inlineStr">
        <is>
          <t>Home Owner</t>
        </is>
      </c>
      <c r="I116" s="21" t="inlineStr">
        <is>
          <t>V</t>
        </is>
      </c>
      <c r="J116" s="21" t="inlineStr">
        <is>
          <t>N</t>
        </is>
      </c>
      <c r="K116" s="21" t="inlineStr">
        <is>
          <t>E</t>
        </is>
      </c>
      <c r="L116" s="19" t="n"/>
    </row>
    <row r="117" ht="15.75" customHeight="1" s="102">
      <c r="A117" s="19" t="inlineStr">
        <is>
          <t>4.2.25</t>
        </is>
      </c>
      <c r="B117" s="24" t="n">
        <v>45627</v>
      </c>
      <c r="C117" s="49" t="inlineStr">
        <is>
          <t>R2875567,</t>
        </is>
      </c>
      <c r="D117" s="19" t="inlineStr">
        <is>
          <t>3710 4880 LOUGHEED HIGHWAY</t>
        </is>
      </c>
      <c r="E117" s="19" t="inlineStr">
        <is>
          <t>3710 4880 LOUGHEED HIGHWAY</t>
        </is>
      </c>
      <c r="F117" s="19" t="inlineStr">
        <is>
          <t>Burnaby, BC V5C 1N0</t>
        </is>
      </c>
      <c r="G117" s="113" t="n">
        <v>766800</v>
      </c>
      <c r="H117" s="19" t="inlineStr">
        <is>
          <t>CAI YING YU</t>
        </is>
      </c>
      <c r="I117" s="21" t="inlineStr">
        <is>
          <t>V</t>
        </is>
      </c>
      <c r="J117" s="21" t="inlineStr">
        <is>
          <t>N</t>
        </is>
      </c>
      <c r="K117" s="21" t="inlineStr">
        <is>
          <t>E</t>
        </is>
      </c>
      <c r="L117" s="19" t="n"/>
    </row>
    <row r="118" ht="15.75" customHeight="1" s="102">
      <c r="A118" s="19" t="inlineStr">
        <is>
          <t>4.2.25</t>
        </is>
      </c>
      <c r="B118" s="24" t="n">
        <v>45627</v>
      </c>
      <c r="C118" s="49" t="inlineStr">
        <is>
          <t>R2906941,</t>
        </is>
      </c>
      <c r="D118" s="19" t="inlineStr">
        <is>
          <t>4804 4880 LOUGHEED HIGHWAY</t>
        </is>
      </c>
      <c r="E118" s="19" t="inlineStr">
        <is>
          <t>4804 4880 LOUGHEED HIGHWAY</t>
        </is>
      </c>
      <c r="F118" s="19" t="inlineStr">
        <is>
          <t>Burnaby, BC V5C 0N1</t>
        </is>
      </c>
      <c r="G118" s="113" t="n">
        <v>729900</v>
      </c>
      <c r="H118" s="19" t="inlineStr">
        <is>
          <t>Home Owner</t>
        </is>
      </c>
      <c r="I118" s="21" t="inlineStr">
        <is>
          <t>O</t>
        </is>
      </c>
      <c r="J118" s="21" t="inlineStr">
        <is>
          <t>N</t>
        </is>
      </c>
      <c r="K118" s="21" t="inlineStr">
        <is>
          <t>E</t>
        </is>
      </c>
      <c r="L118" s="19" t="n"/>
    </row>
    <row r="119" ht="15.75" customHeight="1" s="102">
      <c r="A119" s="19" t="inlineStr">
        <is>
          <t>4.2.25</t>
        </is>
      </c>
      <c r="B119" s="24" t="n">
        <v>45653</v>
      </c>
      <c r="C119" s="49" t="inlineStr">
        <is>
          <t>R2900622,</t>
        </is>
      </c>
      <c r="D119" s="19" t="inlineStr">
        <is>
          <t>4905 4880 LOUGHEED HIGHWAY</t>
        </is>
      </c>
      <c r="E119" s="19" t="inlineStr">
        <is>
          <t>4905 4880 LOUGHEED HIGHWAY</t>
        </is>
      </c>
      <c r="F119" s="19" t="inlineStr">
        <is>
          <t>Burnaby, BC V5C 0N1</t>
        </is>
      </c>
      <c r="G119" s="113" t="n">
        <v>699000</v>
      </c>
      <c r="H119" s="19" t="inlineStr">
        <is>
          <t>Home Owner</t>
        </is>
      </c>
      <c r="I119" s="21" t="inlineStr">
        <is>
          <t>T</t>
        </is>
      </c>
      <c r="J119" s="21" t="inlineStr">
        <is>
          <t>N</t>
        </is>
      </c>
      <c r="K119" s="21" t="inlineStr">
        <is>
          <t>E</t>
        </is>
      </c>
      <c r="L119" s="19" t="n"/>
    </row>
    <row r="120" ht="15.75" customHeight="1" s="102">
      <c r="A120" s="19" t="inlineStr">
        <is>
          <t>4.2.25</t>
        </is>
      </c>
      <c r="B120" s="24" t="n">
        <v>45552</v>
      </c>
      <c r="C120" s="49" t="inlineStr">
        <is>
          <t>R2876680,</t>
        </is>
      </c>
      <c r="D120" s="19" t="inlineStr">
        <is>
          <t>401 4890 LOUGHEED HIGHWAY</t>
        </is>
      </c>
      <c r="E120" s="19" t="inlineStr">
        <is>
          <t>401 4890 LOUGHEED HIGHWAY</t>
        </is>
      </c>
      <c r="F120" s="19" t="inlineStr">
        <is>
          <t>Burnaby, BC V5C 0N1</t>
        </is>
      </c>
      <c r="G120" s="113" t="n">
        <v>598888</v>
      </c>
      <c r="H120" s="19" t="inlineStr">
        <is>
          <t>Home Owner</t>
        </is>
      </c>
      <c r="I120" s="21" t="inlineStr">
        <is>
          <t>V</t>
        </is>
      </c>
      <c r="J120" s="21" t="inlineStr">
        <is>
          <t>N</t>
        </is>
      </c>
      <c r="K120" s="21" t="inlineStr">
        <is>
          <t>T</t>
        </is>
      </c>
      <c r="L120" s="19" t="n"/>
    </row>
    <row r="121" ht="15.75" customHeight="1" s="102">
      <c r="A121" s="19" t="inlineStr">
        <is>
          <t>4.2.25</t>
        </is>
      </c>
      <c r="B121" s="24" t="n">
        <v>45658</v>
      </c>
      <c r="C121" s="49" t="inlineStr">
        <is>
          <t>R2871390,</t>
        </is>
      </c>
      <c r="D121" s="19" t="inlineStr">
        <is>
          <t>706 4890 LOUGHEED HIGHWAY</t>
        </is>
      </c>
      <c r="E121" s="19" t="inlineStr">
        <is>
          <t>706 4890 LOUGHEED HIGHWAY</t>
        </is>
      </c>
      <c r="F121" s="19" t="inlineStr">
        <is>
          <t>Burnaby, BC V5C 0N2</t>
        </is>
      </c>
      <c r="G121" s="113" t="n">
        <v>658000</v>
      </c>
      <c r="H121" s="19" t="inlineStr">
        <is>
          <t>Home Owner</t>
        </is>
      </c>
      <c r="I121" s="21" t="inlineStr">
        <is>
          <t>V</t>
        </is>
      </c>
      <c r="J121" s="21" t="inlineStr">
        <is>
          <t>N</t>
        </is>
      </c>
      <c r="K121" s="21" t="inlineStr">
        <is>
          <t>E</t>
        </is>
      </c>
      <c r="L121" s="19" t="n"/>
    </row>
    <row r="122" ht="15.75" customHeight="1" s="102">
      <c r="A122" s="19" t="inlineStr">
        <is>
          <t>4.2.25</t>
        </is>
      </c>
      <c r="B122" s="24" t="n">
        <v>45658</v>
      </c>
      <c r="C122" s="49" t="inlineStr">
        <is>
          <t>R2865758,</t>
        </is>
      </c>
      <c r="D122" s="19" t="inlineStr">
        <is>
          <t>1103 4890 LOUGHEED HIGHWAY</t>
        </is>
      </c>
      <c r="E122" s="19" t="inlineStr">
        <is>
          <t>1103 4890 LOUGHEED HIGHWAY</t>
        </is>
      </c>
      <c r="F122" s="19" t="inlineStr">
        <is>
          <t>Burnaby, BC V5C 0N2</t>
        </is>
      </c>
      <c r="G122" s="113" t="n">
        <v>758000</v>
      </c>
      <c r="H122" s="19" t="inlineStr">
        <is>
          <t>JIA SONG</t>
        </is>
      </c>
      <c r="I122" s="21" t="inlineStr">
        <is>
          <t>O</t>
        </is>
      </c>
      <c r="J122" s="21" t="inlineStr">
        <is>
          <t>N</t>
        </is>
      </c>
      <c r="K122" s="21" t="inlineStr">
        <is>
          <t>E</t>
        </is>
      </c>
      <c r="L122" s="19" t="n"/>
    </row>
    <row r="123" ht="15.75" customHeight="1" s="102">
      <c r="A123" s="19" t="inlineStr">
        <is>
          <t>4.2.25</t>
        </is>
      </c>
      <c r="B123" s="24" t="n">
        <v>45597</v>
      </c>
      <c r="C123" s="49" t="inlineStr">
        <is>
          <t>R2869571,</t>
        </is>
      </c>
      <c r="D123" s="19" t="inlineStr">
        <is>
          <t>1510 4890 LOUGHEED HIGHWAY</t>
        </is>
      </c>
      <c r="E123" s="19" t="inlineStr">
        <is>
          <t>1510 4890 LOUGHEED HIGHWAY</t>
        </is>
      </c>
      <c r="F123" s="19" t="inlineStr">
        <is>
          <t>Burnaby, BC V5C 0N2</t>
        </is>
      </c>
      <c r="G123" s="113" t="n">
        <v>757000</v>
      </c>
      <c r="H123" s="19" t="inlineStr">
        <is>
          <t>XIAO TONG LIN</t>
        </is>
      </c>
      <c r="I123" s="21" t="inlineStr">
        <is>
          <t>V</t>
        </is>
      </c>
      <c r="J123" s="21" t="inlineStr">
        <is>
          <t>N</t>
        </is>
      </c>
      <c r="K123" s="21" t="inlineStr">
        <is>
          <t>E</t>
        </is>
      </c>
      <c r="L123" s="19" t="n"/>
    </row>
    <row r="124" ht="15.75" customHeight="1" s="102">
      <c r="A124" s="19" t="inlineStr">
        <is>
          <t>4.2.25</t>
        </is>
      </c>
      <c r="B124" s="24" t="n">
        <v>45554</v>
      </c>
      <c r="C124" s="49" t="inlineStr">
        <is>
          <t>R2873500,</t>
        </is>
      </c>
      <c r="D124" s="19" t="inlineStr">
        <is>
          <t>1603 4890 LOUGHEED HIGHWAY</t>
        </is>
      </c>
      <c r="E124" s="19" t="inlineStr">
        <is>
          <t>1603 4890 LOUGHEED HIGHWAY</t>
        </is>
      </c>
      <c r="F124" s="19" t="inlineStr">
        <is>
          <t>Burnaby, BC V5C 0N2</t>
        </is>
      </c>
      <c r="G124" s="113" t="n">
        <v>699000</v>
      </c>
      <c r="H124" s="19" t="inlineStr">
        <is>
          <t>HE, XIAO</t>
        </is>
      </c>
      <c r="I124" s="21" t="inlineStr">
        <is>
          <t>O</t>
        </is>
      </c>
      <c r="J124" s="21" t="inlineStr">
        <is>
          <t>N</t>
        </is>
      </c>
      <c r="K124" s="21" t="inlineStr">
        <is>
          <t>T</t>
        </is>
      </c>
      <c r="L124" s="19" t="n"/>
    </row>
    <row r="125" ht="15.75" customHeight="1" s="102">
      <c r="A125" s="19" t="inlineStr">
        <is>
          <t>4.2.25</t>
        </is>
      </c>
      <c r="B125" s="24" t="n">
        <v>45620</v>
      </c>
      <c r="C125" s="49" t="inlineStr">
        <is>
          <t>R2864332,</t>
        </is>
      </c>
      <c r="D125" s="19" t="inlineStr">
        <is>
          <t>1610 4890 LOUGHEED HIGHWAY</t>
        </is>
      </c>
      <c r="E125" s="19" t="inlineStr">
        <is>
          <t>1610 4890 LOUGHEED HIGHWAY</t>
        </is>
      </c>
      <c r="F125" s="19" t="inlineStr">
        <is>
          <t>Burnaby, BC V5C 0N2</t>
        </is>
      </c>
      <c r="G125" s="113" t="n">
        <v>766000</v>
      </c>
      <c r="H125" s="19" t="inlineStr">
        <is>
          <t>Home Owner</t>
        </is>
      </c>
      <c r="I125" s="21" t="inlineStr">
        <is>
          <t>V</t>
        </is>
      </c>
      <c r="J125" s="21" t="inlineStr">
        <is>
          <t>N</t>
        </is>
      </c>
      <c r="K125" s="21" t="inlineStr">
        <is>
          <t>T</t>
        </is>
      </c>
      <c r="L125" s="19" t="n"/>
    </row>
    <row r="126" ht="15.75" customHeight="1" s="102">
      <c r="A126" s="19" t="inlineStr">
        <is>
          <t>4.2.25</t>
        </is>
      </c>
      <c r="B126" s="24" t="n">
        <v>45672</v>
      </c>
      <c r="C126" s="49" t="inlineStr">
        <is>
          <t>R2862935,</t>
        </is>
      </c>
      <c r="D126" s="19" t="inlineStr">
        <is>
          <t>1801 4890 LOUGHEED HIGHWAY</t>
        </is>
      </c>
      <c r="E126" s="19" t="inlineStr">
        <is>
          <t>1206 ORMSBY LANE NW</t>
        </is>
      </c>
      <c r="F126" s="19" t="inlineStr">
        <is>
          <t>Edmonton, AB T5T 6G8</t>
        </is>
      </c>
      <c r="G126" s="113" t="n">
        <v>770000</v>
      </c>
      <c r="H126" s="19" t="inlineStr">
        <is>
          <t>JIMMY KWOK KEUNG KWONG</t>
        </is>
      </c>
      <c r="I126" s="21" t="inlineStr">
        <is>
          <t>V</t>
        </is>
      </c>
      <c r="J126" s="21" t="inlineStr">
        <is>
          <t>Y</t>
        </is>
      </c>
      <c r="K126" s="21" t="inlineStr">
        <is>
          <t>T</t>
        </is>
      </c>
      <c r="L126" s="19" t="n"/>
    </row>
    <row r="127" ht="15.75" customHeight="1" s="102">
      <c r="A127" s="19" t="inlineStr">
        <is>
          <t>4.2.25</t>
        </is>
      </c>
      <c r="B127" s="24" t="n">
        <v>45482</v>
      </c>
      <c r="C127" s="49" t="inlineStr">
        <is>
          <t>R2870252,</t>
        </is>
      </c>
      <c r="D127" s="19" t="inlineStr">
        <is>
          <t>2806 4890 LOUGHEED HIGHWAY</t>
        </is>
      </c>
      <c r="E127" s="19" t="inlineStr">
        <is>
          <t>2806 4890 LOUGHEED HIGHWAY</t>
        </is>
      </c>
      <c r="F127" s="19" t="inlineStr">
        <is>
          <t>Burnaby, BC V5C 0N2</t>
        </is>
      </c>
      <c r="G127" s="113" t="n">
        <v>728000</v>
      </c>
      <c r="H127" s="19" t="inlineStr">
        <is>
          <t>Home Owner</t>
        </is>
      </c>
      <c r="I127" s="21" t="inlineStr">
        <is>
          <t>O</t>
        </is>
      </c>
      <c r="J127" s="21" t="inlineStr">
        <is>
          <t>N</t>
        </is>
      </c>
      <c r="K127" s="21" t="inlineStr">
        <is>
          <t>T</t>
        </is>
      </c>
      <c r="L127" s="19" t="n"/>
    </row>
    <row r="128" ht="15.75" customHeight="1" s="102">
      <c r="A128" s="19" t="inlineStr">
        <is>
          <t>4.2.25</t>
        </is>
      </c>
      <c r="B128" s="72" t="n">
        <v>45562</v>
      </c>
      <c r="C128" s="61" t="inlineStr">
        <is>
          <t>R2869356,</t>
        </is>
      </c>
      <c r="D128" s="56" t="inlineStr">
        <is>
          <t>3003 4890 LOUGHEED HIGHWAY</t>
        </is>
      </c>
      <c r="E128" s="56" t="inlineStr">
        <is>
          <t>3003 4890 LOUGHEED HIGHWAY</t>
        </is>
      </c>
      <c r="F128" s="56" t="inlineStr">
        <is>
          <t>Burnaby, BC V5C 0N2</t>
        </is>
      </c>
      <c r="G128" s="125" t="n">
        <v>739000</v>
      </c>
      <c r="H128" s="56" t="inlineStr">
        <is>
          <t>SAU CHING CHAN</t>
        </is>
      </c>
      <c r="I128" s="57" t="inlineStr">
        <is>
          <t>O</t>
        </is>
      </c>
      <c r="J128" s="57" t="inlineStr">
        <is>
          <t>N</t>
        </is>
      </c>
      <c r="K128" s="57" t="inlineStr">
        <is>
          <t>T</t>
        </is>
      </c>
      <c r="L128" s="56" t="n"/>
    </row>
    <row r="129" ht="15.75" customHeight="1" s="102">
      <c r="A129" s="19" t="inlineStr">
        <is>
          <t>4.2.25</t>
        </is>
      </c>
      <c r="B129" s="24" t="n">
        <v>45609</v>
      </c>
      <c r="C129" s="49" t="inlineStr">
        <is>
          <t>R2921917,</t>
        </is>
      </c>
      <c r="D129" s="19" t="inlineStr">
        <is>
          <t>3401 4890 LOUGHEED HIGHWAY</t>
        </is>
      </c>
      <c r="E129" s="19" t="inlineStr">
        <is>
          <t>3401 4890 LOUGHEED HIGHWAY</t>
        </is>
      </c>
      <c r="F129" s="19" t="inlineStr">
        <is>
          <t>Burnaby, BC V5C 0N2</t>
        </is>
      </c>
      <c r="G129" s="113" t="n">
        <v>690000</v>
      </c>
      <c r="H129" s="19" t="inlineStr">
        <is>
          <t>Home Owner</t>
        </is>
      </c>
      <c r="I129" s="21" t="inlineStr">
        <is>
          <t>V</t>
        </is>
      </c>
      <c r="J129" s="21" t="inlineStr">
        <is>
          <t>N</t>
        </is>
      </c>
      <c r="K129" s="21" t="inlineStr">
        <is>
          <t>T</t>
        </is>
      </c>
      <c r="L129" s="19" t="n"/>
    </row>
    <row r="130" ht="15.75" customHeight="1" s="102">
      <c r="A130" s="19" t="inlineStr">
        <is>
          <t>4.2.25</t>
        </is>
      </c>
      <c r="B130" s="72" t="n">
        <v>45628</v>
      </c>
      <c r="C130" s="61" t="inlineStr">
        <is>
          <t>R2869069,</t>
        </is>
      </c>
      <c r="D130" s="56" t="inlineStr">
        <is>
          <t>505 2181 MADISON AVENUE</t>
        </is>
      </c>
      <c r="E130" s="56" t="inlineStr">
        <is>
          <t>505 2181 MADISON AVENUE</t>
        </is>
      </c>
      <c r="F130" s="56" t="inlineStr">
        <is>
          <t>Burnaby, BC V5C 4B3</t>
        </is>
      </c>
      <c r="G130" s="125" t="n">
        <v>629900</v>
      </c>
      <c r="H130" s="56" t="inlineStr">
        <is>
          <t>IMANI DEVELOPMENT MADISON LP &amp; DM LAND LTD.</t>
        </is>
      </c>
      <c r="I130" s="57" t="inlineStr">
        <is>
          <t>V</t>
        </is>
      </c>
      <c r="J130" s="57" t="inlineStr">
        <is>
          <t>N</t>
        </is>
      </c>
      <c r="K130" s="57" t="inlineStr">
        <is>
          <t>E</t>
        </is>
      </c>
      <c r="L130" s="57" t="inlineStr">
        <is>
          <t>Developer</t>
        </is>
      </c>
    </row>
    <row r="131" ht="15.75" customHeight="1" s="102">
      <c r="A131" s="19" t="inlineStr">
        <is>
          <t>4.2.25</t>
        </is>
      </c>
      <c r="B131" s="24" t="n">
        <v>45580</v>
      </c>
      <c r="C131" s="49" t="inlineStr">
        <is>
          <t>R2925849,</t>
        </is>
      </c>
      <c r="D131" s="19" t="inlineStr">
        <is>
          <t>510 2181 MADISON AVENUE</t>
        </is>
      </c>
      <c r="E131" s="19" t="inlineStr">
        <is>
          <t>510 2181 MADISON AVENUE</t>
        </is>
      </c>
      <c r="F131" s="19" t="inlineStr">
        <is>
          <t>Burnaby, BC V5C 0N4</t>
        </is>
      </c>
      <c r="G131" s="113" t="n">
        <v>639900</v>
      </c>
      <c r="H131" s="19" t="inlineStr">
        <is>
          <t>Home Owner</t>
        </is>
      </c>
      <c r="I131" s="21" t="inlineStr">
        <is>
          <t>V</t>
        </is>
      </c>
      <c r="J131" s="21" t="inlineStr">
        <is>
          <t>N</t>
        </is>
      </c>
      <c r="K131" s="21" t="inlineStr">
        <is>
          <t>T</t>
        </is>
      </c>
      <c r="L131" s="19" t="n"/>
    </row>
    <row r="132" ht="15.75" customHeight="1" s="102">
      <c r="A132" s="19" t="inlineStr">
        <is>
          <t>4.2.25</t>
        </is>
      </c>
      <c r="B132" s="24" t="n">
        <v>45658</v>
      </c>
      <c r="C132" s="49" t="inlineStr">
        <is>
          <t>R2921736,</t>
        </is>
      </c>
      <c r="D132" s="19" t="inlineStr">
        <is>
          <t>703 2181 MADISON AVENUE</t>
        </is>
      </c>
      <c r="E132" s="19" t="inlineStr">
        <is>
          <t>703 2181 MADISON AVENUE</t>
        </is>
      </c>
      <c r="F132" s="19" t="inlineStr">
        <is>
          <t>Burnaby, BC V5C 0N4</t>
        </is>
      </c>
      <c r="G132" s="113" t="n">
        <v>799900</v>
      </c>
      <c r="H132" s="19" t="inlineStr">
        <is>
          <t>Home Owner</t>
        </is>
      </c>
      <c r="I132" s="21" t="inlineStr">
        <is>
          <t>T</t>
        </is>
      </c>
      <c r="J132" s="21" t="inlineStr">
        <is>
          <t>N</t>
        </is>
      </c>
      <c r="K132" s="21" t="inlineStr">
        <is>
          <t>T</t>
        </is>
      </c>
      <c r="L132" s="19" t="n"/>
    </row>
    <row r="133" ht="15.75" customHeight="1" s="102">
      <c r="A133" s="19" t="inlineStr">
        <is>
          <t>4.2.25</t>
        </is>
      </c>
      <c r="B133" s="24" t="n">
        <v>45656</v>
      </c>
      <c r="C133" s="49" t="inlineStr">
        <is>
          <t>R2921331,</t>
        </is>
      </c>
      <c r="D133" s="19" t="inlineStr">
        <is>
          <t>3108 2181 MADISON AVENUE</t>
        </is>
      </c>
      <c r="E133" s="19" t="inlineStr">
        <is>
          <t>3108 2181 MADISON AVENUE</t>
        </is>
      </c>
      <c r="F133" s="19" t="inlineStr">
        <is>
          <t>Burnaby, BC V5C 0N4</t>
        </is>
      </c>
      <c r="G133" s="113" t="n">
        <v>665000</v>
      </c>
      <c r="H133" s="19" t="inlineStr">
        <is>
          <t>CYNTHIA FONG LEONG | CLIFF CHAN | COLEMAN CHAN</t>
        </is>
      </c>
      <c r="I133" s="21" t="inlineStr">
        <is>
          <t>O</t>
        </is>
      </c>
      <c r="J133" s="21" t="inlineStr">
        <is>
          <t>N</t>
        </is>
      </c>
      <c r="K133" s="21" t="inlineStr">
        <is>
          <t>T</t>
        </is>
      </c>
      <c r="L133" s="19" t="n"/>
    </row>
    <row r="134" ht="15.75" customHeight="1" s="102">
      <c r="A134" s="19" t="inlineStr">
        <is>
          <t>4.2.25</t>
        </is>
      </c>
      <c r="B134" s="24" t="n">
        <v>45575</v>
      </c>
      <c r="C134" s="49" t="inlineStr">
        <is>
          <t>R2896803,</t>
        </is>
      </c>
      <c r="D134" s="19" t="inlineStr">
        <is>
          <t>3110 2181 MADISON AVENUE</t>
        </is>
      </c>
      <c r="E134" s="19" t="inlineStr">
        <is>
          <t>3110 2181 MADISON AVENUE</t>
        </is>
      </c>
      <c r="F134" s="19" t="inlineStr">
        <is>
          <t>Burnaby, BC V5C 0N4</t>
        </is>
      </c>
      <c r="G134" s="113" t="n">
        <v>668000</v>
      </c>
      <c r="H134" s="19" t="inlineStr">
        <is>
          <t>Home Owner</t>
        </is>
      </c>
      <c r="I134" s="21" t="inlineStr">
        <is>
          <t>O</t>
        </is>
      </c>
      <c r="J134" s="21" t="inlineStr">
        <is>
          <t>N</t>
        </is>
      </c>
      <c r="K134" s="21" t="inlineStr">
        <is>
          <t>T</t>
        </is>
      </c>
      <c r="L134" s="19" t="n"/>
    </row>
    <row r="135" ht="15.75" customHeight="1" s="102">
      <c r="A135" s="19" t="inlineStr">
        <is>
          <t>4.2.25</t>
        </is>
      </c>
      <c r="B135" s="24" t="n">
        <v>45566</v>
      </c>
      <c r="C135" s="49" t="inlineStr">
        <is>
          <t>R2886785,</t>
        </is>
      </c>
      <c r="D135" s="19" t="inlineStr">
        <is>
          <t>3601 2085 SKYLINE COURT</t>
        </is>
      </c>
      <c r="E135" s="19" t="inlineStr">
        <is>
          <t>3601 2085 SKYLINE COURT</t>
        </is>
      </c>
      <c r="F135" s="19" t="inlineStr">
        <is>
          <t>Burnaby, BC V5C 0M6</t>
        </is>
      </c>
      <c r="G135" s="113" t="n">
        <v>849000</v>
      </c>
      <c r="H135" s="19" t="inlineStr">
        <is>
          <t>Home Owner</t>
        </is>
      </c>
      <c r="I135" s="21" t="inlineStr">
        <is>
          <t>O</t>
        </is>
      </c>
      <c r="J135" s="21" t="inlineStr">
        <is>
          <t>N</t>
        </is>
      </c>
      <c r="K135" s="21" t="inlineStr">
        <is>
          <t>E</t>
        </is>
      </c>
      <c r="L135" s="19" t="n"/>
    </row>
    <row r="136" ht="15.75" customHeight="1" s="102">
      <c r="A136" s="19" t="inlineStr">
        <is>
          <t>4.2.25</t>
        </is>
      </c>
      <c r="B136" s="24" t="n">
        <v>45505</v>
      </c>
      <c r="C136" s="49" t="inlineStr">
        <is>
          <t>R2877647,</t>
        </is>
      </c>
      <c r="D136" s="19" t="inlineStr">
        <is>
          <t>2604 4485 SKYLINE DRIVE</t>
        </is>
      </c>
      <c r="E136" s="19" t="inlineStr">
        <is>
          <t>2604 4485 SKYLINE DRIVE</t>
        </is>
      </c>
      <c r="F136" s="19" t="inlineStr">
        <is>
          <t>Burnaby, BC V5C 0J2</t>
        </is>
      </c>
      <c r="G136" s="113" t="n">
        <v>599800</v>
      </c>
      <c r="H136" s="19" t="inlineStr">
        <is>
          <t>Home Owner</t>
        </is>
      </c>
      <c r="I136" s="21" t="inlineStr">
        <is>
          <t>V</t>
        </is>
      </c>
      <c r="J136" s="21" t="inlineStr">
        <is>
          <t>N</t>
        </is>
      </c>
      <c r="K136" s="21" t="inlineStr">
        <is>
          <t>T</t>
        </is>
      </c>
      <c r="L136" s="19" t="n"/>
    </row>
    <row r="137" ht="15.75" customHeight="1" s="102">
      <c r="A137" s="19" t="inlineStr">
        <is>
          <t>4.2.25</t>
        </is>
      </c>
      <c r="B137" s="72" t="n">
        <v>45539</v>
      </c>
      <c r="C137" s="61" t="inlineStr">
        <is>
          <t>R2890066,</t>
        </is>
      </c>
      <c r="D137" s="56" t="inlineStr">
        <is>
          <t>3205 2135 SPRINGER AVENUE</t>
        </is>
      </c>
      <c r="E137" s="56" t="inlineStr">
        <is>
          <t>3205 2135 SPRINGER AVENUE</t>
        </is>
      </c>
      <c r="F137" s="56" t="inlineStr">
        <is>
          <t>Burnaby, BC V0V 0V0</t>
        </is>
      </c>
      <c r="G137" s="125" t="n">
        <v>874900</v>
      </c>
      <c r="H137" s="56" t="inlineStr">
        <is>
          <t>BDC DEVELOPMENTS LIMITED PARTNERSHIP &amp; BDC PROPERTIES LTD.</t>
        </is>
      </c>
      <c r="I137" s="57" t="inlineStr">
        <is>
          <t>U</t>
        </is>
      </c>
      <c r="J137" s="57" t="inlineStr">
        <is>
          <t>N</t>
        </is>
      </c>
      <c r="K137" s="57" t="inlineStr">
        <is>
          <t>E</t>
        </is>
      </c>
      <c r="L137" s="57" t="inlineStr">
        <is>
          <t>Developer</t>
        </is>
      </c>
    </row>
    <row r="138" ht="15.75" customHeight="1" s="102">
      <c r="A138" s="19" t="inlineStr">
        <is>
          <t>4.2.25</t>
        </is>
      </c>
      <c r="B138" s="72" t="n">
        <v>45735</v>
      </c>
      <c r="C138" s="61" t="inlineStr">
        <is>
          <t>R2956376,</t>
        </is>
      </c>
      <c r="D138" s="56" t="inlineStr">
        <is>
          <t>704 2210 SPRINGER AVENUE</t>
        </is>
      </c>
      <c r="E138" s="56" t="inlineStr">
        <is>
          <t>704 2210 SPRINGER AVENUE</t>
        </is>
      </c>
      <c r="F138" s="56" t="inlineStr">
        <is>
          <t>Burnaby, BC V5B 3M7</t>
        </is>
      </c>
      <c r="G138" s="125" t="n">
        <v>829900</v>
      </c>
      <c r="H138" s="56" t="inlineStr">
        <is>
          <t>BOFFO DEVELOPMENTS LTD</t>
        </is>
      </c>
      <c r="I138" s="57" t="inlineStr">
        <is>
          <t>U</t>
        </is>
      </c>
      <c r="J138" s="57" t="inlineStr">
        <is>
          <t>N</t>
        </is>
      </c>
      <c r="K138" s="57" t="inlineStr">
        <is>
          <t>T</t>
        </is>
      </c>
      <c r="L138" s="57" t="inlineStr">
        <is>
          <t>Developer</t>
        </is>
      </c>
    </row>
    <row r="139" ht="15.75" customHeight="1" s="102">
      <c r="A139" s="19" t="inlineStr">
        <is>
          <t>4.2.25</t>
        </is>
      </c>
      <c r="B139" s="72" t="n">
        <v>45735</v>
      </c>
      <c r="C139" s="61" t="inlineStr">
        <is>
          <t>R2956383,</t>
        </is>
      </c>
      <c r="D139" s="56" t="inlineStr">
        <is>
          <t>903 2210 SPRINGER AVENUE</t>
        </is>
      </c>
      <c r="E139" s="56" t="inlineStr">
        <is>
          <t>903 2210 SPRINGER AVENUE</t>
        </is>
      </c>
      <c r="F139" s="56" t="inlineStr">
        <is>
          <t>Burnaby, BC V5B 3M7</t>
        </is>
      </c>
      <c r="G139" s="125" t="n">
        <v>881900</v>
      </c>
      <c r="H139" s="56" t="inlineStr">
        <is>
          <t>BOFFO DEVELOPMENTS LTD</t>
        </is>
      </c>
      <c r="I139" s="57" t="inlineStr">
        <is>
          <t>U</t>
        </is>
      </c>
      <c r="J139" s="57" t="inlineStr">
        <is>
          <t>N</t>
        </is>
      </c>
      <c r="K139" s="57" t="inlineStr">
        <is>
          <t>T</t>
        </is>
      </c>
      <c r="L139" s="57" t="inlineStr">
        <is>
          <t>Developer</t>
        </is>
      </c>
    </row>
    <row r="140" ht="15.75" customHeight="1" s="102">
      <c r="A140" s="19" t="inlineStr">
        <is>
          <t>4.2.25</t>
        </is>
      </c>
      <c r="B140" s="72" t="n">
        <v>45735</v>
      </c>
      <c r="C140" s="61" t="inlineStr">
        <is>
          <t>R2956386,</t>
        </is>
      </c>
      <c r="D140" s="56" t="inlineStr">
        <is>
          <t>1201 2210 SPRINGER AVENUE</t>
        </is>
      </c>
      <c r="E140" s="56" t="inlineStr">
        <is>
          <t>1201 2210 SPRINGER AVENUE</t>
        </is>
      </c>
      <c r="F140" s="56" t="inlineStr">
        <is>
          <t>Burnaby, BC V5B 3M7</t>
        </is>
      </c>
      <c r="G140" s="125" t="n">
        <v>822900</v>
      </c>
      <c r="H140" s="56" t="inlineStr">
        <is>
          <t>BOFFO DEVELOPMENTS LTD</t>
        </is>
      </c>
      <c r="I140" s="57" t="inlineStr">
        <is>
          <t>U</t>
        </is>
      </c>
      <c r="J140" s="57" t="inlineStr">
        <is>
          <t>N</t>
        </is>
      </c>
      <c r="K140" s="57" t="inlineStr">
        <is>
          <t>T</t>
        </is>
      </c>
      <c r="L140" s="57" t="inlineStr">
        <is>
          <t>Developer</t>
        </is>
      </c>
    </row>
    <row r="141" ht="15.75" customHeight="1" s="102">
      <c r="A141" s="19" t="inlineStr">
        <is>
          <t>4.2.25</t>
        </is>
      </c>
      <c r="B141" s="72" t="n">
        <v>45556</v>
      </c>
      <c r="C141" s="61" t="inlineStr">
        <is>
          <t>R2897323,</t>
        </is>
      </c>
      <c r="D141" s="56" t="inlineStr">
        <is>
          <t>1607 2266 SPRINGER AVENUE</t>
        </is>
      </c>
      <c r="E141" s="56" t="inlineStr">
        <is>
          <t>1607 2266 SPRINGER AVENUE</t>
        </is>
      </c>
      <c r="F141" s="56" t="inlineStr">
        <is>
          <t>Burnaby, BC V5B 3M7</t>
        </is>
      </c>
      <c r="G141" s="125" t="n">
        <v>736900</v>
      </c>
      <c r="H141" s="56" t="inlineStr">
        <is>
          <t>MILLENIUM GORING LIMITED PARTNERSHIP | 1039906 BC LTD</t>
        </is>
      </c>
      <c r="I141" s="57" t="inlineStr">
        <is>
          <t>U</t>
        </is>
      </c>
      <c r="J141" s="57" t="inlineStr">
        <is>
          <t>N</t>
        </is>
      </c>
      <c r="K141" s="57" t="inlineStr">
        <is>
          <t>E</t>
        </is>
      </c>
      <c r="L141" s="56" t="n"/>
    </row>
    <row r="142" ht="15.75" customHeight="1" s="102">
      <c r="A142" s="19" t="inlineStr">
        <is>
          <t>4.2.25</t>
        </is>
      </c>
      <c r="B142" s="72" t="n">
        <v>45556</v>
      </c>
      <c r="C142" s="61" t="inlineStr">
        <is>
          <t>R2897352,</t>
        </is>
      </c>
      <c r="D142" s="56" t="inlineStr">
        <is>
          <t>1809 2266 SPRINGER AVENUE</t>
        </is>
      </c>
      <c r="E142" s="56" t="inlineStr">
        <is>
          <t>1809 2266 SPRINGER AVENUE</t>
        </is>
      </c>
      <c r="F142" s="56" t="inlineStr">
        <is>
          <t>Burnaby, BC V5B 3M7</t>
        </is>
      </c>
      <c r="G142" s="125" t="n">
        <v>592900</v>
      </c>
      <c r="H142" s="56" t="inlineStr">
        <is>
          <t>MILLENIUM GORING LIMITED PARTNERSHIP | 1039906 BC LTD</t>
        </is>
      </c>
      <c r="I142" s="57" t="inlineStr">
        <is>
          <t>U</t>
        </is>
      </c>
      <c r="J142" s="57" t="inlineStr">
        <is>
          <t>N</t>
        </is>
      </c>
      <c r="K142" s="57" t="inlineStr">
        <is>
          <t>E</t>
        </is>
      </c>
      <c r="L142" s="56" t="n"/>
    </row>
    <row r="143" ht="15.75" customHeight="1" s="102">
      <c r="B143" s="21" t="n"/>
    </row>
    <row r="144" ht="15.75" customHeight="1" s="102">
      <c r="B144" s="21" t="n"/>
    </row>
    <row r="145" ht="15.75" customHeight="1" s="102">
      <c r="B145" s="21" t="n"/>
    </row>
    <row r="146" ht="15.75" customHeight="1" s="102">
      <c r="B146" s="21" t="n"/>
    </row>
    <row r="147" ht="15.75" customHeight="1" s="102">
      <c r="B147" s="21" t="n"/>
    </row>
    <row r="148" ht="15.75" customHeight="1" s="102">
      <c r="B148" s="21" t="n"/>
    </row>
    <row r="149" ht="15.75" customHeight="1" s="102">
      <c r="B149" s="21" t="n"/>
    </row>
    <row r="150" ht="15.75" customHeight="1" s="102">
      <c r="B150" s="21" t="n"/>
    </row>
    <row r="151" ht="15.75" customHeight="1" s="102">
      <c r="B151" s="21" t="n"/>
    </row>
    <row r="152" ht="15.75" customHeight="1" s="102">
      <c r="B152" s="21" t="n"/>
    </row>
    <row r="153" ht="15.75" customHeight="1" s="102">
      <c r="B153" s="21" t="n"/>
    </row>
    <row r="154" ht="15.75" customHeight="1" s="102">
      <c r="B154" s="21" t="n"/>
    </row>
    <row r="155" ht="15.75" customHeight="1" s="102">
      <c r="B155" s="21" t="n"/>
    </row>
    <row r="156" ht="15.75" customHeight="1" s="102">
      <c r="B156" s="21" t="n"/>
    </row>
    <row r="157" ht="15.75" customHeight="1" s="102">
      <c r="B157" s="21" t="n"/>
    </row>
    <row r="158" ht="15.75" customHeight="1" s="102">
      <c r="B158" s="21" t="n"/>
    </row>
    <row r="159" ht="15.75" customHeight="1" s="102">
      <c r="B159" s="21" t="n"/>
    </row>
    <row r="160" ht="15.75" customHeight="1" s="102">
      <c r="B160" s="21" t="n"/>
    </row>
    <row r="161" ht="15.75" customHeight="1" s="102">
      <c r="B161" s="21" t="n"/>
    </row>
    <row r="162" ht="15.75" customHeight="1" s="102">
      <c r="B162" s="21" t="n"/>
    </row>
    <row r="163" ht="15.75" customHeight="1" s="102">
      <c r="B163" s="21" t="n"/>
    </row>
    <row r="164" ht="15.75" customHeight="1" s="102">
      <c r="B164" s="21" t="n"/>
    </row>
    <row r="165" ht="15.75" customHeight="1" s="102">
      <c r="B165" s="21" t="n"/>
    </row>
    <row r="166" ht="15.75" customHeight="1" s="102">
      <c r="B166" s="21" t="n"/>
    </row>
    <row r="167" ht="15.75" customHeight="1" s="102">
      <c r="B167" s="21" t="n"/>
    </row>
    <row r="168" ht="15.75" customHeight="1" s="102">
      <c r="B168" s="21" t="n"/>
    </row>
    <row r="169" ht="15.75" customHeight="1" s="102">
      <c r="B169" s="21" t="n"/>
    </row>
    <row r="170" ht="15.75" customHeight="1" s="102">
      <c r="B170" s="21" t="n"/>
    </row>
    <row r="171" ht="15.75" customHeight="1" s="102">
      <c r="B171" s="21" t="n"/>
    </row>
    <row r="172" ht="15.75" customHeight="1" s="102">
      <c r="B172" s="21" t="n"/>
    </row>
    <row r="173" ht="15.75" customHeight="1" s="102">
      <c r="B173" s="21" t="n"/>
    </row>
    <row r="174" ht="15.75" customHeight="1" s="102">
      <c r="B174" s="21" t="n"/>
    </row>
    <row r="175" ht="15.75" customHeight="1" s="102">
      <c r="B175" s="21" t="n"/>
    </row>
    <row r="176" ht="15.75" customHeight="1" s="102">
      <c r="B176" s="21" t="n"/>
    </row>
    <row r="177" ht="15.75" customHeight="1" s="102">
      <c r="B177" s="21" t="n"/>
    </row>
    <row r="178" ht="15.75" customHeight="1" s="102">
      <c r="B178" s="21" t="n"/>
    </row>
    <row r="179" ht="15.75" customHeight="1" s="102">
      <c r="B179" s="21" t="n"/>
    </row>
    <row r="180" ht="15.75" customHeight="1" s="102">
      <c r="B180" s="21" t="n"/>
    </row>
    <row r="181" ht="15.75" customHeight="1" s="102">
      <c r="B181" s="21" t="n"/>
    </row>
    <row r="182" ht="15.75" customHeight="1" s="102">
      <c r="B182" s="21" t="n"/>
    </row>
    <row r="183" ht="15.75" customHeight="1" s="102">
      <c r="B183" s="21" t="n"/>
    </row>
    <row r="184" ht="15.75" customHeight="1" s="102">
      <c r="B184" s="21" t="n"/>
    </row>
    <row r="185" ht="15.75" customHeight="1" s="102">
      <c r="B185" s="21" t="n"/>
    </row>
    <row r="186" ht="15.75" customHeight="1" s="102">
      <c r="B186" s="21" t="n"/>
    </row>
    <row r="187" ht="15.75" customHeight="1" s="102">
      <c r="B187" s="21" t="n"/>
    </row>
    <row r="188" ht="15.75" customHeight="1" s="102">
      <c r="B188" s="21" t="n"/>
    </row>
    <row r="189" ht="15.75" customHeight="1" s="102">
      <c r="B189" s="21" t="n"/>
    </row>
    <row r="190" ht="15.75" customHeight="1" s="102">
      <c r="B190" s="21" t="n"/>
    </row>
    <row r="191" ht="15.75" customHeight="1" s="102">
      <c r="B191" s="21" t="n"/>
    </row>
    <row r="192" ht="15.75" customHeight="1" s="102">
      <c r="B192" s="21" t="n"/>
    </row>
    <row r="193" ht="15.75" customHeight="1" s="102">
      <c r="B193" s="21" t="n"/>
    </row>
    <row r="194" ht="15.75" customHeight="1" s="102">
      <c r="B194" s="21" t="n"/>
    </row>
    <row r="195" ht="15.75" customHeight="1" s="102">
      <c r="B195" s="21" t="n"/>
    </row>
    <row r="196" ht="15.75" customHeight="1" s="102">
      <c r="B196" s="21" t="n"/>
    </row>
    <row r="197" ht="15.75" customHeight="1" s="102">
      <c r="B197" s="21" t="n"/>
    </row>
    <row r="198" ht="15.75" customHeight="1" s="102">
      <c r="B198" s="21" t="n"/>
    </row>
    <row r="199" ht="15.75" customHeight="1" s="102">
      <c r="B199" s="21" t="n"/>
    </row>
    <row r="200" ht="15.75" customHeight="1" s="102">
      <c r="B200" s="21" t="n"/>
    </row>
    <row r="201" ht="15.75" customHeight="1" s="102">
      <c r="B201" s="21" t="n"/>
    </row>
    <row r="202" ht="15.75" customHeight="1" s="102">
      <c r="B202" s="21" t="n"/>
    </row>
    <row r="203" ht="15.75" customHeight="1" s="102">
      <c r="B203" s="21" t="n"/>
    </row>
    <row r="204" ht="15.75" customHeight="1" s="102">
      <c r="B204" s="21" t="n"/>
    </row>
    <row r="205" ht="15.75" customHeight="1" s="102">
      <c r="B205" s="21" t="n"/>
    </row>
    <row r="206" ht="15.75" customHeight="1" s="102">
      <c r="B206" s="21" t="n"/>
    </row>
    <row r="207" ht="15.75" customHeight="1" s="102">
      <c r="B207" s="21" t="n"/>
    </row>
    <row r="208" ht="15.75" customHeight="1" s="102">
      <c r="B208" s="21" t="n"/>
    </row>
    <row r="209" ht="15.75" customHeight="1" s="102">
      <c r="B209" s="21" t="n"/>
    </row>
    <row r="210" ht="15.75" customHeight="1" s="102">
      <c r="B210" s="21" t="n"/>
    </row>
    <row r="211" ht="15.75" customHeight="1" s="102">
      <c r="B211" s="21" t="n"/>
    </row>
    <row r="212" ht="15.75" customHeight="1" s="102">
      <c r="B212" s="21" t="n"/>
    </row>
    <row r="213" ht="15.75" customHeight="1" s="102">
      <c r="B213" s="21" t="n"/>
    </row>
    <row r="214" ht="15.75" customHeight="1" s="102">
      <c r="B214" s="21" t="n"/>
    </row>
    <row r="215" ht="15.75" customHeight="1" s="102">
      <c r="B215" s="21" t="n"/>
    </row>
    <row r="216" ht="15.75" customHeight="1" s="102">
      <c r="B216" s="21" t="n"/>
    </row>
    <row r="217" ht="15.75" customHeight="1" s="102">
      <c r="B217" s="21" t="n"/>
    </row>
    <row r="218" ht="15.75" customHeight="1" s="102">
      <c r="B218" s="21" t="n"/>
    </row>
    <row r="219" ht="15.75" customHeight="1" s="102">
      <c r="B219" s="21" t="n"/>
    </row>
    <row r="220" ht="15.75" customHeight="1" s="102">
      <c r="B220" s="21" t="n"/>
    </row>
    <row r="221" ht="15.75" customHeight="1" s="102">
      <c r="B221" s="21" t="n"/>
    </row>
    <row r="222" ht="15.75" customHeight="1" s="102">
      <c r="B222" s="21" t="n"/>
    </row>
    <row r="223" ht="15.75" customHeight="1" s="102">
      <c r="B223" s="21" t="n"/>
    </row>
    <row r="224" ht="15.75" customHeight="1" s="102">
      <c r="B224" s="21" t="n"/>
    </row>
    <row r="225" ht="15.75" customHeight="1" s="102">
      <c r="B225" s="21" t="n"/>
    </row>
    <row r="226" ht="15.75" customHeight="1" s="102">
      <c r="B226" s="21" t="n"/>
    </row>
    <row r="227" ht="15.75" customHeight="1" s="102">
      <c r="B227" s="21" t="n"/>
    </row>
    <row r="228" ht="15.75" customHeight="1" s="102">
      <c r="B228" s="21" t="n"/>
    </row>
    <row r="229" ht="15.75" customHeight="1" s="102">
      <c r="B229" s="21" t="n"/>
    </row>
    <row r="230" ht="15.75" customHeight="1" s="102">
      <c r="B230" s="21" t="n"/>
    </row>
    <row r="231" ht="15.75" customHeight="1" s="102">
      <c r="B231" s="21" t="n"/>
    </row>
    <row r="232" ht="15.75" customHeight="1" s="102">
      <c r="B232" s="21" t="n"/>
    </row>
    <row r="233" ht="15.75" customHeight="1" s="102">
      <c r="B233" s="21" t="n"/>
    </row>
    <row r="234" ht="15.75" customHeight="1" s="102">
      <c r="B234" s="21" t="n"/>
    </row>
    <row r="235" ht="15.75" customHeight="1" s="102">
      <c r="B235" s="21" t="n"/>
    </row>
    <row r="236" ht="15.75" customHeight="1" s="102">
      <c r="B236" s="21" t="n"/>
    </row>
    <row r="237" ht="15.75" customHeight="1" s="102">
      <c r="B237" s="21" t="n"/>
    </row>
    <row r="238" ht="15.75" customHeight="1" s="102">
      <c r="B238" s="21" t="n"/>
    </row>
    <row r="239" ht="15.75" customHeight="1" s="102">
      <c r="B239" s="21" t="n"/>
    </row>
    <row r="240" ht="15.75" customHeight="1" s="102">
      <c r="B240" s="21" t="n"/>
    </row>
    <row r="241" ht="15.75" customHeight="1" s="102">
      <c r="B241" s="21" t="n"/>
    </row>
    <row r="242" ht="15.75" customHeight="1" s="102">
      <c r="B242" s="21" t="n"/>
    </row>
    <row r="243" ht="15.75" customHeight="1" s="102">
      <c r="B243" s="21" t="n"/>
    </row>
    <row r="244" ht="15.75" customHeight="1" s="102">
      <c r="B244" s="21" t="n"/>
    </row>
    <row r="245" ht="15.75" customHeight="1" s="102">
      <c r="B245" s="21" t="n"/>
    </row>
    <row r="246" ht="15.75" customHeight="1" s="102">
      <c r="B246" s="21" t="n"/>
    </row>
    <row r="247" ht="15.75" customHeight="1" s="102">
      <c r="B247" s="21" t="n"/>
    </row>
    <row r="248" ht="15.75" customHeight="1" s="102">
      <c r="B248" s="21" t="n"/>
    </row>
    <row r="249" ht="15.75" customHeight="1" s="102">
      <c r="B249" s="21" t="n"/>
    </row>
    <row r="250" ht="15.75" customHeight="1" s="102">
      <c r="B250" s="21" t="n"/>
    </row>
    <row r="251" ht="15.75" customHeight="1" s="102">
      <c r="B251" s="21" t="n"/>
    </row>
    <row r="252" ht="15.75" customHeight="1" s="102">
      <c r="B252" s="21" t="n"/>
    </row>
    <row r="253" ht="15.75" customHeight="1" s="102">
      <c r="B253" s="21" t="n"/>
    </row>
    <row r="254" ht="15.75" customHeight="1" s="102">
      <c r="B254" s="21" t="n"/>
    </row>
    <row r="255" ht="15.75" customHeight="1" s="102">
      <c r="B255" s="21" t="n"/>
    </row>
    <row r="256" ht="15.75" customHeight="1" s="102">
      <c r="B256" s="21" t="n"/>
    </row>
    <row r="257" ht="15.75" customHeight="1" s="102">
      <c r="B257" s="21" t="n"/>
    </row>
    <row r="258" ht="15.75" customHeight="1" s="102">
      <c r="B258" s="21" t="n"/>
    </row>
    <row r="259" ht="15.75" customHeight="1" s="102">
      <c r="B259" s="21" t="n"/>
    </row>
    <row r="260" ht="15.75" customHeight="1" s="102">
      <c r="B260" s="21" t="n"/>
    </row>
    <row r="261" ht="15.75" customHeight="1" s="102">
      <c r="B261" s="21" t="n"/>
    </row>
    <row r="262" ht="15.75" customHeight="1" s="102">
      <c r="B262" s="21" t="n"/>
    </row>
    <row r="263" ht="15.75" customHeight="1" s="102">
      <c r="B263" s="21" t="n"/>
    </row>
    <row r="264" ht="15.75" customHeight="1" s="102">
      <c r="B264" s="21" t="n"/>
    </row>
    <row r="265" ht="15.75" customHeight="1" s="102">
      <c r="B265" s="21" t="n"/>
    </row>
    <row r="266" ht="15.75" customHeight="1" s="102">
      <c r="B266" s="21" t="n"/>
    </row>
    <row r="267" ht="15.75" customHeight="1" s="102">
      <c r="B267" s="21" t="n"/>
    </row>
    <row r="268" ht="15.75" customHeight="1" s="102">
      <c r="B268" s="21" t="n"/>
    </row>
    <row r="269" ht="15.75" customHeight="1" s="102">
      <c r="B269" s="21" t="n"/>
    </row>
    <row r="270" ht="15.75" customHeight="1" s="102">
      <c r="B270" s="21" t="n"/>
    </row>
    <row r="271" ht="15.75" customHeight="1" s="102">
      <c r="B271" s="21" t="n"/>
    </row>
    <row r="272" ht="15.75" customHeight="1" s="102">
      <c r="B272" s="21" t="n"/>
    </row>
    <row r="273" ht="15.75" customHeight="1" s="102">
      <c r="B273" s="21" t="n"/>
    </row>
    <row r="274" ht="15.75" customHeight="1" s="102">
      <c r="B274" s="21" t="n"/>
    </row>
    <row r="275" ht="15.75" customHeight="1" s="102">
      <c r="B275" s="21" t="n"/>
    </row>
    <row r="276" ht="15.75" customHeight="1" s="102">
      <c r="B276" s="21" t="n"/>
    </row>
    <row r="277" ht="15.75" customHeight="1" s="102">
      <c r="B277" s="21" t="n"/>
    </row>
    <row r="278" ht="15.75" customHeight="1" s="102">
      <c r="B278" s="21" t="n"/>
    </row>
    <row r="279" ht="15.75" customHeight="1" s="102">
      <c r="B279" s="21" t="n"/>
    </row>
    <row r="280" ht="15.75" customHeight="1" s="102">
      <c r="B280" s="21" t="n"/>
    </row>
    <row r="281" ht="15.75" customHeight="1" s="102">
      <c r="B281" s="21" t="n"/>
    </row>
    <row r="282" ht="15.75" customHeight="1" s="102">
      <c r="B282" s="21" t="n"/>
    </row>
    <row r="283" ht="15.75" customHeight="1" s="102">
      <c r="B283" s="21" t="n"/>
    </row>
    <row r="284" ht="15.75" customHeight="1" s="102">
      <c r="B284" s="21" t="n"/>
    </row>
    <row r="285" ht="15.75" customHeight="1" s="102">
      <c r="B285" s="21" t="n"/>
    </row>
    <row r="286" ht="15.75" customHeight="1" s="102">
      <c r="B286" s="21" t="n"/>
    </row>
    <row r="287" ht="15.75" customHeight="1" s="102">
      <c r="B287" s="21" t="n"/>
    </row>
    <row r="288" ht="15.75" customHeight="1" s="102">
      <c r="B288" s="21" t="n"/>
    </row>
    <row r="289" ht="15.75" customHeight="1" s="102">
      <c r="B289" s="21" t="n"/>
    </row>
    <row r="290" ht="15.75" customHeight="1" s="102">
      <c r="B290" s="21" t="n"/>
    </row>
    <row r="291" ht="15.75" customHeight="1" s="102">
      <c r="B291" s="21" t="n"/>
    </row>
    <row r="292" ht="15.75" customHeight="1" s="102">
      <c r="B292" s="21" t="n"/>
    </row>
    <row r="293" ht="15.75" customHeight="1" s="102">
      <c r="B293" s="21" t="n"/>
    </row>
    <row r="294" ht="15.75" customHeight="1" s="102">
      <c r="B294" s="21" t="n"/>
    </row>
    <row r="295" ht="15.75" customHeight="1" s="102">
      <c r="B295" s="21" t="n"/>
    </row>
    <row r="296" ht="15.75" customHeight="1" s="102">
      <c r="B296" s="21" t="n"/>
    </row>
    <row r="297" ht="15.75" customHeight="1" s="102">
      <c r="B297" s="21" t="n"/>
    </row>
    <row r="298" ht="15.75" customHeight="1" s="102">
      <c r="B298" s="21" t="n"/>
    </row>
    <row r="299" ht="15.75" customHeight="1" s="102">
      <c r="B299" s="21" t="n"/>
    </row>
    <row r="300" ht="15.75" customHeight="1" s="102">
      <c r="B300" s="21" t="n"/>
    </row>
    <row r="301" ht="15.75" customHeight="1" s="102">
      <c r="B301" s="21" t="n"/>
    </row>
    <row r="302" ht="15.75" customHeight="1" s="102">
      <c r="B302" s="21" t="n"/>
    </row>
    <row r="303" ht="15.75" customHeight="1" s="102">
      <c r="B303" s="21" t="n"/>
    </row>
    <row r="304" ht="15.75" customHeight="1" s="102">
      <c r="B304" s="21" t="n"/>
    </row>
    <row r="305" ht="15.75" customHeight="1" s="102">
      <c r="B305" s="21" t="n"/>
    </row>
    <row r="306" ht="15.75" customHeight="1" s="102">
      <c r="B306" s="21" t="n"/>
    </row>
    <row r="307" ht="15.75" customHeight="1" s="102">
      <c r="B307" s="21" t="n"/>
    </row>
    <row r="308" ht="15.75" customHeight="1" s="102">
      <c r="B308" s="21" t="n"/>
    </row>
    <row r="309" ht="15.75" customHeight="1" s="102">
      <c r="B309" s="21" t="n"/>
    </row>
    <row r="310" ht="15.75" customHeight="1" s="102">
      <c r="B310" s="21" t="n"/>
    </row>
    <row r="311" ht="15.75" customHeight="1" s="102">
      <c r="B311" s="21" t="n"/>
    </row>
    <row r="312" ht="15.75" customHeight="1" s="102">
      <c r="B312" s="21" t="n"/>
    </row>
    <row r="313" ht="15.75" customHeight="1" s="102">
      <c r="B313" s="21" t="n"/>
    </row>
    <row r="314" ht="15.75" customHeight="1" s="102">
      <c r="B314" s="21" t="n"/>
    </row>
    <row r="315" ht="15.75" customHeight="1" s="102">
      <c r="B315" s="21" t="n"/>
    </row>
    <row r="316" ht="15.75" customHeight="1" s="102">
      <c r="B316" s="21" t="n"/>
    </row>
    <row r="317" ht="15.75" customHeight="1" s="102">
      <c r="B317" s="21" t="n"/>
    </row>
    <row r="318" ht="15.75" customHeight="1" s="102">
      <c r="B318" s="21" t="n"/>
    </row>
    <row r="319" ht="15.75" customHeight="1" s="102">
      <c r="B319" s="21" t="n"/>
    </row>
    <row r="320" ht="15.75" customHeight="1" s="102">
      <c r="B320" s="21" t="n"/>
    </row>
    <row r="321" ht="15.75" customHeight="1" s="102">
      <c r="B321" s="21" t="n"/>
    </row>
    <row r="322" ht="15.75" customHeight="1" s="102">
      <c r="B322" s="21" t="n"/>
    </row>
    <row r="323" ht="15.75" customHeight="1" s="102">
      <c r="B323" s="21" t="n"/>
    </row>
    <row r="324" ht="15.75" customHeight="1" s="102">
      <c r="B324" s="21" t="n"/>
    </row>
    <row r="325" ht="15.75" customHeight="1" s="102">
      <c r="B325" s="21" t="n"/>
    </row>
    <row r="326" ht="15.75" customHeight="1" s="102">
      <c r="B326" s="21" t="n"/>
    </row>
    <row r="327" ht="15.75" customHeight="1" s="102">
      <c r="B327" s="21" t="n"/>
    </row>
    <row r="328" ht="15.75" customHeight="1" s="102">
      <c r="B328" s="21" t="n"/>
    </row>
    <row r="329" ht="15.75" customHeight="1" s="102">
      <c r="B329" s="21" t="n"/>
    </row>
    <row r="330" ht="15.75" customHeight="1" s="102">
      <c r="B330" s="21" t="n"/>
    </row>
    <row r="331" ht="15.75" customHeight="1" s="102">
      <c r="B331" s="21" t="n"/>
    </row>
    <row r="332" ht="15.75" customHeight="1" s="102">
      <c r="B332" s="21" t="n"/>
    </row>
    <row r="333" ht="15.75" customHeight="1" s="102">
      <c r="B333" s="21" t="n"/>
    </row>
    <row r="334" ht="15.75" customHeight="1" s="102">
      <c r="B334" s="21" t="n"/>
    </row>
    <row r="335" ht="15.75" customHeight="1" s="102">
      <c r="B335" s="21" t="n"/>
    </row>
    <row r="336" ht="15.75" customHeight="1" s="102">
      <c r="B336" s="21" t="n"/>
    </row>
    <row r="337" ht="15.75" customHeight="1" s="102">
      <c r="B337" s="21" t="n"/>
    </row>
    <row r="338" ht="15.75" customHeight="1" s="102">
      <c r="B338" s="21" t="n"/>
    </row>
    <row r="339" ht="15.75" customHeight="1" s="102">
      <c r="B339" s="21" t="n"/>
    </row>
    <row r="340" ht="15.75" customHeight="1" s="102">
      <c r="B340" s="21" t="n"/>
    </row>
    <row r="341" ht="15.75" customHeight="1" s="102">
      <c r="B341" s="21" t="n"/>
    </row>
    <row r="342" ht="15.75" customHeight="1" s="102">
      <c r="B342" s="21" t="n"/>
    </row>
    <row r="343" ht="15.75" customHeight="1" s="102">
      <c r="B343" s="21" t="n"/>
    </row>
    <row r="344" ht="15.75" customHeight="1" s="102">
      <c r="B344" s="21" t="n"/>
    </row>
    <row r="345" ht="15.75" customHeight="1" s="102">
      <c r="B345" s="21" t="n"/>
    </row>
    <row r="346" ht="15.75" customHeight="1" s="102">
      <c r="B346" s="21" t="n"/>
    </row>
    <row r="347" ht="15.75" customHeight="1" s="102">
      <c r="B347" s="21" t="n"/>
    </row>
    <row r="348" ht="15.75" customHeight="1" s="102">
      <c r="B348" s="21" t="n"/>
    </row>
    <row r="349" ht="15.75" customHeight="1" s="102">
      <c r="B349" s="21" t="n"/>
    </row>
    <row r="350" ht="15.75" customHeight="1" s="102">
      <c r="B350" s="21" t="n"/>
    </row>
    <row r="351" ht="15.75" customHeight="1" s="102">
      <c r="B351" s="21" t="n"/>
    </row>
    <row r="352" ht="15.75" customHeight="1" s="102">
      <c r="B352" s="21" t="n"/>
    </row>
    <row r="353" ht="15.75" customHeight="1" s="102">
      <c r="B353" s="21" t="n"/>
    </row>
    <row r="354" ht="15.75" customHeight="1" s="102">
      <c r="B354" s="21" t="n"/>
    </row>
    <row r="355" ht="15.75" customHeight="1" s="102">
      <c r="B355" s="21" t="n"/>
    </row>
    <row r="356" ht="15.75" customHeight="1" s="102">
      <c r="B356" s="21" t="n"/>
    </row>
    <row r="357" ht="15.75" customHeight="1" s="102">
      <c r="B357" s="21" t="n"/>
    </row>
    <row r="358" ht="15.75" customHeight="1" s="102">
      <c r="B358" s="21" t="n"/>
    </row>
    <row r="359" ht="15.75" customHeight="1" s="102">
      <c r="B359" s="21" t="n"/>
    </row>
    <row r="360" ht="15.75" customHeight="1" s="102">
      <c r="B360" s="21" t="n"/>
    </row>
    <row r="361" ht="15.75" customHeight="1" s="102">
      <c r="B361" s="21" t="n"/>
    </row>
    <row r="362" ht="15.75" customHeight="1" s="102">
      <c r="B362" s="21" t="n"/>
    </row>
    <row r="363" ht="15.75" customHeight="1" s="102">
      <c r="B363" s="21" t="n"/>
    </row>
    <row r="364" ht="15.75" customHeight="1" s="102">
      <c r="B364" s="21" t="n"/>
    </row>
    <row r="365" ht="15.75" customHeight="1" s="102">
      <c r="B365" s="21" t="n"/>
    </row>
    <row r="366" ht="15.75" customHeight="1" s="102">
      <c r="B366" s="21" t="n"/>
    </row>
    <row r="367" ht="15.75" customHeight="1" s="102">
      <c r="B367" s="21" t="n"/>
    </row>
    <row r="368" ht="15.75" customHeight="1" s="102">
      <c r="B368" s="21" t="n"/>
    </row>
    <row r="369" ht="15.75" customHeight="1" s="102">
      <c r="B369" s="21" t="n"/>
    </row>
    <row r="370" ht="15.75" customHeight="1" s="102">
      <c r="B370" s="21" t="n"/>
    </row>
    <row r="371" ht="15.75" customHeight="1" s="102">
      <c r="B371" s="21" t="n"/>
    </row>
    <row r="372" ht="15.75" customHeight="1" s="102">
      <c r="B372" s="21" t="n"/>
    </row>
    <row r="373" ht="15.75" customHeight="1" s="102">
      <c r="B373" s="21" t="n"/>
    </row>
    <row r="374" ht="15.75" customHeight="1" s="102">
      <c r="B374" s="21" t="n"/>
    </row>
    <row r="375" ht="15.75" customHeight="1" s="102">
      <c r="B375" s="21" t="n"/>
    </row>
    <row r="376" ht="15.75" customHeight="1" s="102">
      <c r="B376" s="21" t="n"/>
    </row>
    <row r="377" ht="15.75" customHeight="1" s="102">
      <c r="B377" s="21" t="n"/>
    </row>
    <row r="378" ht="15.75" customHeight="1" s="102">
      <c r="B378" s="21" t="n"/>
    </row>
    <row r="379" ht="15.75" customHeight="1" s="102">
      <c r="B379" s="21" t="n"/>
    </row>
    <row r="380" ht="15.75" customHeight="1" s="102">
      <c r="B380" s="21" t="n"/>
    </row>
    <row r="381" ht="15.75" customHeight="1" s="102">
      <c r="B381" s="21" t="n"/>
    </row>
    <row r="382" ht="15.75" customHeight="1" s="102">
      <c r="B382" s="21" t="n"/>
    </row>
    <row r="383" ht="15.75" customHeight="1" s="102">
      <c r="B383" s="21" t="n"/>
    </row>
    <row r="384" ht="15.75" customHeight="1" s="102">
      <c r="B384" s="21" t="n"/>
    </row>
    <row r="385" ht="15.75" customHeight="1" s="102">
      <c r="B385" s="21" t="n"/>
    </row>
    <row r="386" ht="15.75" customHeight="1" s="102">
      <c r="B386" s="21" t="n"/>
    </row>
    <row r="387" ht="15.75" customHeight="1" s="102">
      <c r="B387" s="21" t="n"/>
    </row>
    <row r="388" ht="15.75" customHeight="1" s="102">
      <c r="B388" s="21" t="n"/>
    </row>
    <row r="389" ht="15.75" customHeight="1" s="102">
      <c r="B389" s="21" t="n"/>
    </row>
    <row r="390" ht="15.75" customHeight="1" s="102">
      <c r="B390" s="21" t="n"/>
    </row>
    <row r="391" ht="15.75" customHeight="1" s="102">
      <c r="B391" s="21" t="n"/>
    </row>
    <row r="392" ht="15.75" customHeight="1" s="102">
      <c r="B392" s="21" t="n"/>
    </row>
    <row r="393" ht="15.75" customHeight="1" s="102">
      <c r="B393" s="21" t="n"/>
    </row>
    <row r="394" ht="15.75" customHeight="1" s="102">
      <c r="B394" s="21" t="n"/>
    </row>
    <row r="395" ht="15.75" customHeight="1" s="102">
      <c r="B395" s="21" t="n"/>
    </row>
    <row r="396" ht="15.75" customHeight="1" s="102">
      <c r="B396" s="21" t="n"/>
    </row>
    <row r="397" ht="15.75" customHeight="1" s="102">
      <c r="B397" s="21" t="n"/>
    </row>
    <row r="398" ht="15.75" customHeight="1" s="102">
      <c r="B398" s="21" t="n"/>
    </row>
    <row r="399" ht="15.75" customHeight="1" s="102">
      <c r="B399" s="21" t="n"/>
    </row>
    <row r="400" ht="15.75" customHeight="1" s="102">
      <c r="B400" s="21" t="n"/>
    </row>
    <row r="401" ht="15.75" customHeight="1" s="102">
      <c r="B401" s="21" t="n"/>
    </row>
    <row r="402" ht="15.75" customHeight="1" s="102">
      <c r="B402" s="21" t="n"/>
    </row>
    <row r="403" ht="15.75" customHeight="1" s="102">
      <c r="B403" s="21" t="n"/>
    </row>
    <row r="404" ht="15.75" customHeight="1" s="102">
      <c r="B404" s="21" t="n"/>
    </row>
    <row r="405" ht="15.75" customHeight="1" s="102">
      <c r="B405" s="21" t="n"/>
    </row>
    <row r="406" ht="15.75" customHeight="1" s="102">
      <c r="B406" s="21" t="n"/>
    </row>
    <row r="407" ht="15.75" customHeight="1" s="102">
      <c r="B407" s="21" t="n"/>
    </row>
    <row r="408" ht="15.75" customHeight="1" s="102">
      <c r="B408" s="21" t="n"/>
    </row>
    <row r="409" ht="15.75" customHeight="1" s="102">
      <c r="B409" s="21" t="n"/>
    </row>
    <row r="410" ht="15.75" customHeight="1" s="102">
      <c r="B410" s="21" t="n"/>
    </row>
    <row r="411" ht="15.75" customHeight="1" s="102">
      <c r="B411" s="21" t="n"/>
    </row>
    <row r="412" ht="15.75" customHeight="1" s="102">
      <c r="B412" s="21" t="n"/>
    </row>
    <row r="413" ht="15.75" customHeight="1" s="102">
      <c r="B413" s="21" t="n"/>
    </row>
    <row r="414" ht="15.75" customHeight="1" s="102">
      <c r="B414" s="21" t="n"/>
    </row>
    <row r="415" ht="15.75" customHeight="1" s="102">
      <c r="B415" s="21" t="n"/>
    </row>
    <row r="416" ht="15.75" customHeight="1" s="102">
      <c r="B416" s="21" t="n"/>
    </row>
    <row r="417" ht="15.75" customHeight="1" s="102">
      <c r="B417" s="21" t="n"/>
    </row>
    <row r="418" ht="15.75" customHeight="1" s="102">
      <c r="B418" s="21" t="n"/>
    </row>
    <row r="419" ht="15.75" customHeight="1" s="102">
      <c r="B419" s="21" t="n"/>
    </row>
    <row r="420" ht="15.75" customHeight="1" s="102">
      <c r="B420" s="21" t="n"/>
    </row>
    <row r="421" ht="15.75" customHeight="1" s="102">
      <c r="B421" s="21" t="n"/>
    </row>
    <row r="422" ht="15.75" customHeight="1" s="102">
      <c r="B422" s="21" t="n"/>
    </row>
    <row r="423" ht="15.75" customHeight="1" s="102">
      <c r="B423" s="21" t="n"/>
    </row>
    <row r="424" ht="15.75" customHeight="1" s="102">
      <c r="B424" s="21" t="n"/>
    </row>
    <row r="425" ht="15.75" customHeight="1" s="102">
      <c r="B425" s="21" t="n"/>
    </row>
    <row r="426" ht="15.75" customHeight="1" s="102">
      <c r="B426" s="21" t="n"/>
    </row>
    <row r="427" ht="15.75" customHeight="1" s="102">
      <c r="B427" s="21" t="n"/>
    </row>
    <row r="428" ht="15.75" customHeight="1" s="102">
      <c r="B428" s="21" t="n"/>
    </row>
    <row r="429" ht="15.75" customHeight="1" s="102">
      <c r="B429" s="21" t="n"/>
    </row>
    <row r="430" ht="15.75" customHeight="1" s="102">
      <c r="B430" s="21" t="n"/>
    </row>
    <row r="431" ht="15.75" customHeight="1" s="102">
      <c r="B431" s="21" t="n"/>
    </row>
    <row r="432" ht="15.75" customHeight="1" s="102">
      <c r="B432" s="21" t="n"/>
    </row>
    <row r="433" ht="15.75" customHeight="1" s="102">
      <c r="B433" s="21" t="n"/>
    </row>
    <row r="434" ht="15.75" customHeight="1" s="102">
      <c r="B434" s="21" t="n"/>
    </row>
    <row r="435" ht="15.75" customHeight="1" s="102">
      <c r="B435" s="21" t="n"/>
    </row>
    <row r="436" ht="15.75" customHeight="1" s="102">
      <c r="B436" s="21" t="n"/>
    </row>
    <row r="437" ht="15.75" customHeight="1" s="102">
      <c r="B437" s="21" t="n"/>
    </row>
    <row r="438" ht="15.75" customHeight="1" s="102">
      <c r="B438" s="21" t="n"/>
    </row>
    <row r="439" ht="15.75" customHeight="1" s="102">
      <c r="B439" s="21" t="n"/>
    </row>
    <row r="440" ht="15.75" customHeight="1" s="102">
      <c r="B440" s="21" t="n"/>
    </row>
    <row r="441" ht="15.75" customHeight="1" s="102">
      <c r="B441" s="21" t="n"/>
    </row>
    <row r="442" ht="15.75" customHeight="1" s="102">
      <c r="B442" s="21" t="n"/>
    </row>
    <row r="443" ht="15.75" customHeight="1" s="102">
      <c r="B443" s="21" t="n"/>
    </row>
    <row r="444" ht="15.75" customHeight="1" s="102">
      <c r="B444" s="21" t="n"/>
    </row>
    <row r="445" ht="15.75" customHeight="1" s="102">
      <c r="B445" s="21" t="n"/>
    </row>
    <row r="446" ht="15.75" customHeight="1" s="102">
      <c r="B446" s="21" t="n"/>
    </row>
    <row r="447" ht="15.75" customHeight="1" s="102">
      <c r="B447" s="21" t="n"/>
    </row>
    <row r="448" ht="15.75" customHeight="1" s="102">
      <c r="B448" s="21" t="n"/>
    </row>
    <row r="449" ht="15.75" customHeight="1" s="102">
      <c r="B449" s="21" t="n"/>
    </row>
    <row r="450" ht="15.75" customHeight="1" s="102">
      <c r="B450" s="21" t="n"/>
    </row>
    <row r="451" ht="15.75" customHeight="1" s="102">
      <c r="B451" s="21" t="n"/>
    </row>
    <row r="452" ht="15.75" customHeight="1" s="102">
      <c r="B452" s="21" t="n"/>
    </row>
    <row r="453" ht="15.75" customHeight="1" s="102">
      <c r="B453" s="21" t="n"/>
    </row>
    <row r="454" ht="15.75" customHeight="1" s="102">
      <c r="B454" s="21" t="n"/>
    </row>
    <row r="455" ht="15.75" customHeight="1" s="102">
      <c r="B455" s="21" t="n"/>
    </row>
    <row r="456" ht="15.75" customHeight="1" s="102">
      <c r="B456" s="21" t="n"/>
    </row>
    <row r="457" ht="15.75" customHeight="1" s="102">
      <c r="B457" s="21" t="n"/>
    </row>
    <row r="458" ht="15.75" customHeight="1" s="102">
      <c r="B458" s="21" t="n"/>
    </row>
    <row r="459" ht="15.75" customHeight="1" s="102">
      <c r="B459" s="21" t="n"/>
    </row>
    <row r="460" ht="15.75" customHeight="1" s="102">
      <c r="B460" s="21" t="n"/>
    </row>
    <row r="461" ht="15.75" customHeight="1" s="102">
      <c r="B461" s="21" t="n"/>
    </row>
    <row r="462" ht="15.75" customHeight="1" s="102">
      <c r="B462" s="21" t="n"/>
    </row>
    <row r="463" ht="15.75" customHeight="1" s="102">
      <c r="B463" s="21" t="n"/>
    </row>
    <row r="464" ht="15.75" customHeight="1" s="102">
      <c r="B464" s="21" t="n"/>
    </row>
    <row r="465" ht="15.75" customHeight="1" s="102">
      <c r="B465" s="21" t="n"/>
    </row>
    <row r="466" ht="15.75" customHeight="1" s="102">
      <c r="B466" s="21" t="n"/>
    </row>
    <row r="467" ht="15.75" customHeight="1" s="102">
      <c r="B467" s="21" t="n"/>
    </row>
    <row r="468" ht="15.75" customHeight="1" s="102">
      <c r="B468" s="21" t="n"/>
    </row>
    <row r="469" ht="15.75" customHeight="1" s="102">
      <c r="B469" s="21" t="n"/>
    </row>
    <row r="470" ht="15.75" customHeight="1" s="102">
      <c r="B470" s="21" t="n"/>
    </row>
    <row r="471" ht="15.75" customHeight="1" s="102">
      <c r="B471" s="21" t="n"/>
    </row>
    <row r="472" ht="15.75" customHeight="1" s="102">
      <c r="B472" s="21" t="n"/>
    </row>
    <row r="473" ht="15.75" customHeight="1" s="102">
      <c r="B473" s="21" t="n"/>
    </row>
    <row r="474" ht="15.75" customHeight="1" s="102">
      <c r="B474" s="21" t="n"/>
    </row>
    <row r="475" ht="15.75" customHeight="1" s="102">
      <c r="B475" s="21" t="n"/>
    </row>
    <row r="476" ht="15.75" customHeight="1" s="102">
      <c r="B476" s="21" t="n"/>
    </row>
    <row r="477" ht="15.75" customHeight="1" s="102">
      <c r="B477" s="21" t="n"/>
    </row>
    <row r="478" ht="15.75" customHeight="1" s="102">
      <c r="B478" s="21" t="n"/>
    </row>
    <row r="479" ht="15.75" customHeight="1" s="102">
      <c r="B479" s="21" t="n"/>
    </row>
    <row r="480" ht="15.75" customHeight="1" s="102">
      <c r="B480" s="21" t="n"/>
    </row>
    <row r="481" ht="15.75" customHeight="1" s="102">
      <c r="B481" s="21" t="n"/>
    </row>
    <row r="482" ht="15.75" customHeight="1" s="102">
      <c r="B482" s="21" t="n"/>
    </row>
    <row r="483" ht="15.75" customHeight="1" s="102">
      <c r="B483" s="21" t="n"/>
    </row>
    <row r="484" ht="15.75" customHeight="1" s="102">
      <c r="B484" s="21" t="n"/>
    </row>
    <row r="485" ht="15.75" customHeight="1" s="102">
      <c r="B485" s="21" t="n"/>
    </row>
    <row r="486" ht="15.75" customHeight="1" s="102">
      <c r="B486" s="21" t="n"/>
    </row>
    <row r="487" ht="15.75" customHeight="1" s="102">
      <c r="B487" s="21" t="n"/>
    </row>
    <row r="488" ht="15.75" customHeight="1" s="102">
      <c r="B488" s="21" t="n"/>
    </row>
    <row r="489" ht="15.75" customHeight="1" s="102">
      <c r="B489" s="21" t="n"/>
    </row>
    <row r="490" ht="15.75" customHeight="1" s="102">
      <c r="B490" s="21" t="n"/>
    </row>
    <row r="491" ht="15.75" customHeight="1" s="102">
      <c r="B491" s="21" t="n"/>
    </row>
    <row r="492" ht="15.75" customHeight="1" s="102">
      <c r="B492" s="21" t="n"/>
    </row>
    <row r="493" ht="15.75" customHeight="1" s="102">
      <c r="B493" s="21" t="n"/>
    </row>
    <row r="494" ht="15.75" customHeight="1" s="102">
      <c r="B494" s="21" t="n"/>
    </row>
    <row r="495" ht="15.75" customHeight="1" s="102">
      <c r="B495" s="21" t="n"/>
    </row>
    <row r="496" ht="15.75" customHeight="1" s="102">
      <c r="B496" s="21" t="n"/>
    </row>
    <row r="497" ht="15.75" customHeight="1" s="102">
      <c r="B497" s="21" t="n"/>
    </row>
    <row r="498" ht="15.75" customHeight="1" s="102">
      <c r="B498" s="21" t="n"/>
    </row>
    <row r="499" ht="15.75" customHeight="1" s="102">
      <c r="B499" s="21" t="n"/>
    </row>
    <row r="500" ht="15.75" customHeight="1" s="102">
      <c r="B500" s="21" t="n"/>
    </row>
    <row r="501" ht="15.75" customHeight="1" s="102">
      <c r="B501" s="21" t="n"/>
    </row>
    <row r="502" ht="15.75" customHeight="1" s="102">
      <c r="B502" s="21" t="n"/>
    </row>
    <row r="503" ht="15.75" customHeight="1" s="102">
      <c r="B503" s="21" t="n"/>
    </row>
    <row r="504" ht="15.75" customHeight="1" s="102">
      <c r="B504" s="21" t="n"/>
    </row>
    <row r="505" ht="15.75" customHeight="1" s="102">
      <c r="B505" s="21" t="n"/>
    </row>
    <row r="506" ht="15.75" customHeight="1" s="102">
      <c r="B506" s="21" t="n"/>
    </row>
    <row r="507" ht="15.75" customHeight="1" s="102">
      <c r="B507" s="21" t="n"/>
    </row>
    <row r="508" ht="15.75" customHeight="1" s="102">
      <c r="B508" s="21" t="n"/>
    </row>
    <row r="509" ht="15.75" customHeight="1" s="102">
      <c r="B509" s="21" t="n"/>
    </row>
    <row r="510" ht="15.75" customHeight="1" s="102">
      <c r="B510" s="21" t="n"/>
    </row>
    <row r="511" ht="15.75" customHeight="1" s="102">
      <c r="B511" s="21" t="n"/>
    </row>
    <row r="512" ht="15.75" customHeight="1" s="102">
      <c r="B512" s="21" t="n"/>
    </row>
    <row r="513" ht="15.75" customHeight="1" s="102">
      <c r="B513" s="21" t="n"/>
    </row>
    <row r="514" ht="15.75" customHeight="1" s="102">
      <c r="B514" s="21" t="n"/>
    </row>
    <row r="515" ht="15.75" customHeight="1" s="102">
      <c r="B515" s="21" t="n"/>
    </row>
    <row r="516" ht="15.75" customHeight="1" s="102">
      <c r="B516" s="21" t="n"/>
    </row>
    <row r="517" ht="15.75" customHeight="1" s="102">
      <c r="B517" s="21" t="n"/>
    </row>
    <row r="518" ht="15.75" customHeight="1" s="102">
      <c r="B518" s="21" t="n"/>
    </row>
    <row r="519" ht="15.75" customHeight="1" s="102">
      <c r="B519" s="21" t="n"/>
    </row>
    <row r="520" ht="15.75" customHeight="1" s="102">
      <c r="B520" s="21" t="n"/>
    </row>
    <row r="521" ht="15.75" customHeight="1" s="102">
      <c r="B521" s="21" t="n"/>
    </row>
    <row r="522" ht="15.75" customHeight="1" s="102">
      <c r="B522" s="21" t="n"/>
    </row>
    <row r="523" ht="15.75" customHeight="1" s="102">
      <c r="B523" s="21" t="n"/>
    </row>
    <row r="524" ht="15.75" customHeight="1" s="102">
      <c r="B524" s="21" t="n"/>
    </row>
    <row r="525" ht="15.75" customHeight="1" s="102">
      <c r="B525" s="21" t="n"/>
    </row>
    <row r="526" ht="15.75" customHeight="1" s="102">
      <c r="B526" s="21" t="n"/>
    </row>
    <row r="527" ht="15.75" customHeight="1" s="102">
      <c r="B527" s="21" t="n"/>
    </row>
    <row r="528" ht="15.75" customHeight="1" s="102">
      <c r="B528" s="21" t="n"/>
    </row>
    <row r="529" ht="15.75" customHeight="1" s="102">
      <c r="B529" s="21" t="n"/>
    </row>
    <row r="530" ht="15.75" customHeight="1" s="102">
      <c r="B530" s="21" t="n"/>
    </row>
    <row r="531" ht="15.75" customHeight="1" s="102">
      <c r="B531" s="21" t="n"/>
    </row>
    <row r="532" ht="15.75" customHeight="1" s="102">
      <c r="B532" s="21" t="n"/>
    </row>
    <row r="533" ht="15.75" customHeight="1" s="102">
      <c r="B533" s="21" t="n"/>
    </row>
    <row r="534" ht="15.75" customHeight="1" s="102">
      <c r="B534" s="21" t="n"/>
    </row>
    <row r="535" ht="15.75" customHeight="1" s="102">
      <c r="B535" s="21" t="n"/>
    </row>
    <row r="536" ht="15.75" customHeight="1" s="102">
      <c r="B536" s="21" t="n"/>
    </row>
    <row r="537" ht="15.75" customHeight="1" s="102">
      <c r="B537" s="21" t="n"/>
    </row>
    <row r="538" ht="15.75" customHeight="1" s="102">
      <c r="B538" s="21" t="n"/>
    </row>
    <row r="539" ht="15.75" customHeight="1" s="102">
      <c r="B539" s="21" t="n"/>
    </row>
    <row r="540" ht="15.75" customHeight="1" s="102">
      <c r="B540" s="21" t="n"/>
    </row>
    <row r="541" ht="15.75" customHeight="1" s="102">
      <c r="B541" s="21" t="n"/>
    </row>
    <row r="542" ht="15.75" customHeight="1" s="102">
      <c r="B542" s="21" t="n"/>
    </row>
    <row r="543" ht="15.75" customHeight="1" s="102">
      <c r="B543" s="21" t="n"/>
    </row>
    <row r="544" ht="15.75" customHeight="1" s="102">
      <c r="B544" s="21" t="n"/>
    </row>
    <row r="545" ht="15.75" customHeight="1" s="102">
      <c r="B545" s="21" t="n"/>
    </row>
    <row r="546" ht="15.75" customHeight="1" s="102">
      <c r="B546" s="21" t="n"/>
    </row>
    <row r="547" ht="15.75" customHeight="1" s="102">
      <c r="B547" s="21" t="n"/>
    </row>
    <row r="548" ht="15.75" customHeight="1" s="102">
      <c r="B548" s="21" t="n"/>
    </row>
    <row r="549" ht="15.75" customHeight="1" s="102">
      <c r="B549" s="21" t="n"/>
    </row>
    <row r="550" ht="15.75" customHeight="1" s="102">
      <c r="B550" s="21" t="n"/>
    </row>
    <row r="551" ht="15.75" customHeight="1" s="102">
      <c r="B551" s="21" t="n"/>
    </row>
    <row r="552" ht="15.75" customHeight="1" s="102">
      <c r="B552" s="21" t="n"/>
    </row>
    <row r="553" ht="15.75" customHeight="1" s="102">
      <c r="B553" s="21" t="n"/>
    </row>
    <row r="554" ht="15.75" customHeight="1" s="102">
      <c r="B554" s="21" t="n"/>
    </row>
    <row r="555" ht="15.75" customHeight="1" s="102">
      <c r="B555" s="21" t="n"/>
    </row>
    <row r="556" ht="15.75" customHeight="1" s="102">
      <c r="B556" s="21" t="n"/>
    </row>
    <row r="557" ht="15.75" customHeight="1" s="102">
      <c r="B557" s="21" t="n"/>
    </row>
    <row r="558" ht="15.75" customHeight="1" s="102">
      <c r="B558" s="21" t="n"/>
    </row>
    <row r="559" ht="15.75" customHeight="1" s="102">
      <c r="B559" s="21" t="n"/>
    </row>
    <row r="560" ht="15.75" customHeight="1" s="102">
      <c r="B560" s="21" t="n"/>
    </row>
    <row r="561" ht="15.75" customHeight="1" s="102">
      <c r="B561" s="21" t="n"/>
    </row>
    <row r="562" ht="15.75" customHeight="1" s="102">
      <c r="B562" s="21" t="n"/>
    </row>
    <row r="563" ht="15.75" customHeight="1" s="102">
      <c r="B563" s="21" t="n"/>
    </row>
    <row r="564" ht="15.75" customHeight="1" s="102">
      <c r="B564" s="21" t="n"/>
    </row>
    <row r="565" ht="15.75" customHeight="1" s="102">
      <c r="B565" s="21" t="n"/>
    </row>
    <row r="566" ht="15.75" customHeight="1" s="102">
      <c r="B566" s="21" t="n"/>
    </row>
    <row r="567" ht="15.75" customHeight="1" s="102">
      <c r="B567" s="21" t="n"/>
    </row>
    <row r="568" ht="15.75" customHeight="1" s="102">
      <c r="B568" s="21" t="n"/>
    </row>
    <row r="569" ht="15.75" customHeight="1" s="102">
      <c r="B569" s="21" t="n"/>
    </row>
    <row r="570" ht="15.75" customHeight="1" s="102">
      <c r="B570" s="21" t="n"/>
    </row>
    <row r="571" ht="15.75" customHeight="1" s="102">
      <c r="B571" s="21" t="n"/>
    </row>
    <row r="572" ht="15.75" customHeight="1" s="102">
      <c r="B572" s="21" t="n"/>
    </row>
    <row r="573" ht="15.75" customHeight="1" s="102">
      <c r="B573" s="21" t="n"/>
    </row>
    <row r="574" ht="15.75" customHeight="1" s="102">
      <c r="B574" s="21" t="n"/>
    </row>
    <row r="575" ht="15.75" customHeight="1" s="102">
      <c r="B575" s="21" t="n"/>
    </row>
    <row r="576" ht="15.75" customHeight="1" s="102">
      <c r="B576" s="21" t="n"/>
    </row>
    <row r="577" ht="15.75" customHeight="1" s="102">
      <c r="B577" s="21" t="n"/>
    </row>
    <row r="578" ht="15.75" customHeight="1" s="102">
      <c r="B578" s="21" t="n"/>
    </row>
    <row r="579" ht="15.75" customHeight="1" s="102">
      <c r="B579" s="21" t="n"/>
    </row>
    <row r="580" ht="15.75" customHeight="1" s="102">
      <c r="B580" s="21" t="n"/>
    </row>
    <row r="581" ht="15.75" customHeight="1" s="102">
      <c r="B581" s="21" t="n"/>
    </row>
    <row r="582" ht="15.75" customHeight="1" s="102">
      <c r="B582" s="21" t="n"/>
    </row>
    <row r="583" ht="15.75" customHeight="1" s="102">
      <c r="B583" s="21" t="n"/>
    </row>
    <row r="584" ht="15.75" customHeight="1" s="102">
      <c r="B584" s="21" t="n"/>
    </row>
    <row r="585" ht="15.75" customHeight="1" s="102">
      <c r="B585" s="21" t="n"/>
    </row>
    <row r="586" ht="15.75" customHeight="1" s="102">
      <c r="B586" s="21" t="n"/>
    </row>
    <row r="587" ht="15.75" customHeight="1" s="102">
      <c r="B587" s="21" t="n"/>
    </row>
    <row r="588" ht="15.75" customHeight="1" s="102">
      <c r="B588" s="21" t="n"/>
    </row>
    <row r="589" ht="15.75" customHeight="1" s="102">
      <c r="B589" s="21" t="n"/>
    </row>
    <row r="590" ht="15.75" customHeight="1" s="102">
      <c r="B590" s="21" t="n"/>
    </row>
    <row r="591" ht="15.75" customHeight="1" s="102">
      <c r="B591" s="21" t="n"/>
    </row>
    <row r="592" ht="15.75" customHeight="1" s="102">
      <c r="B592" s="21" t="n"/>
    </row>
    <row r="593" ht="15.75" customHeight="1" s="102">
      <c r="B593" s="21" t="n"/>
    </row>
    <row r="594" ht="15.75" customHeight="1" s="102">
      <c r="B594" s="21" t="n"/>
    </row>
    <row r="595" ht="15.75" customHeight="1" s="102">
      <c r="B595" s="21" t="n"/>
    </row>
    <row r="596" ht="15.75" customHeight="1" s="102">
      <c r="B596" s="21" t="n"/>
    </row>
    <row r="597" ht="15.75" customHeight="1" s="102">
      <c r="B597" s="21" t="n"/>
    </row>
    <row r="598" ht="15.75" customHeight="1" s="102">
      <c r="B598" s="21" t="n"/>
    </row>
    <row r="599" ht="15.75" customHeight="1" s="102">
      <c r="B599" s="21" t="n"/>
    </row>
    <row r="600" ht="15.75" customHeight="1" s="102">
      <c r="B600" s="21" t="n"/>
    </row>
    <row r="601" ht="15.75" customHeight="1" s="102">
      <c r="B601" s="21" t="n"/>
    </row>
    <row r="602" ht="15.75" customHeight="1" s="102">
      <c r="B602" s="21" t="n"/>
    </row>
    <row r="603" ht="15.75" customHeight="1" s="102">
      <c r="B603" s="21" t="n"/>
    </row>
    <row r="604" ht="15.75" customHeight="1" s="102">
      <c r="B604" s="21" t="n"/>
    </row>
    <row r="605" ht="15.75" customHeight="1" s="102">
      <c r="B605" s="21" t="n"/>
    </row>
    <row r="606" ht="15.75" customHeight="1" s="102">
      <c r="B606" s="21" t="n"/>
    </row>
    <row r="607" ht="15.75" customHeight="1" s="102">
      <c r="B607" s="21" t="n"/>
    </row>
    <row r="608" ht="15.75" customHeight="1" s="102">
      <c r="B608" s="21" t="n"/>
    </row>
    <row r="609" ht="15.75" customHeight="1" s="102">
      <c r="B609" s="21" t="n"/>
    </row>
    <row r="610" ht="15.75" customHeight="1" s="102">
      <c r="B610" s="21" t="n"/>
    </row>
    <row r="611" ht="15.75" customHeight="1" s="102">
      <c r="B611" s="21" t="n"/>
    </row>
    <row r="612" ht="15.75" customHeight="1" s="102">
      <c r="B612" s="21" t="n"/>
    </row>
    <row r="613" ht="15.75" customHeight="1" s="102">
      <c r="B613" s="21" t="n"/>
    </row>
    <row r="614" ht="15.75" customHeight="1" s="102">
      <c r="B614" s="21" t="n"/>
    </row>
    <row r="615" ht="15.75" customHeight="1" s="102">
      <c r="B615" s="21" t="n"/>
    </row>
    <row r="616" ht="15.75" customHeight="1" s="102">
      <c r="B616" s="21" t="n"/>
    </row>
    <row r="617" ht="15.75" customHeight="1" s="102">
      <c r="B617" s="21" t="n"/>
    </row>
    <row r="618" ht="15.75" customHeight="1" s="102">
      <c r="B618" s="21" t="n"/>
    </row>
    <row r="619" ht="15.75" customHeight="1" s="102">
      <c r="B619" s="21" t="n"/>
    </row>
    <row r="620" ht="15.75" customHeight="1" s="102">
      <c r="B620" s="21" t="n"/>
    </row>
    <row r="621" ht="15.75" customHeight="1" s="102">
      <c r="B621" s="21" t="n"/>
    </row>
    <row r="622" ht="15.75" customHeight="1" s="102">
      <c r="B622" s="21" t="n"/>
    </row>
    <row r="623" ht="15.75" customHeight="1" s="102">
      <c r="B623" s="21" t="n"/>
    </row>
    <row r="624" ht="15.75" customHeight="1" s="102">
      <c r="B624" s="21" t="n"/>
    </row>
    <row r="625" ht="15.75" customHeight="1" s="102">
      <c r="B625" s="21" t="n"/>
    </row>
    <row r="626" ht="15.75" customHeight="1" s="102">
      <c r="B626" s="21" t="n"/>
    </row>
    <row r="627" ht="15.75" customHeight="1" s="102">
      <c r="B627" s="21" t="n"/>
    </row>
    <row r="628" ht="15.75" customHeight="1" s="102">
      <c r="B628" s="21" t="n"/>
    </row>
    <row r="629" ht="15.75" customHeight="1" s="102">
      <c r="B629" s="21" t="n"/>
    </row>
    <row r="630" ht="15.75" customHeight="1" s="102">
      <c r="B630" s="21" t="n"/>
    </row>
    <row r="631" ht="15.75" customHeight="1" s="102">
      <c r="B631" s="21" t="n"/>
    </row>
    <row r="632" ht="15.75" customHeight="1" s="102">
      <c r="B632" s="21" t="n"/>
    </row>
    <row r="633" ht="15.75" customHeight="1" s="102">
      <c r="B633" s="21" t="n"/>
    </row>
    <row r="634" ht="15.75" customHeight="1" s="102">
      <c r="B634" s="21" t="n"/>
    </row>
    <row r="635" ht="15.75" customHeight="1" s="102">
      <c r="B635" s="21" t="n"/>
    </row>
    <row r="636" ht="15.75" customHeight="1" s="102">
      <c r="B636" s="21" t="n"/>
    </row>
    <row r="637" ht="15.75" customHeight="1" s="102">
      <c r="B637" s="21" t="n"/>
    </row>
    <row r="638" ht="15.75" customHeight="1" s="102">
      <c r="B638" s="21" t="n"/>
    </row>
    <row r="639" ht="15.75" customHeight="1" s="102">
      <c r="B639" s="21" t="n"/>
    </row>
    <row r="640" ht="15.75" customHeight="1" s="102">
      <c r="B640" s="21" t="n"/>
    </row>
    <row r="641" ht="15.75" customHeight="1" s="102">
      <c r="B641" s="21" t="n"/>
    </row>
    <row r="642" ht="15.75" customHeight="1" s="102">
      <c r="B642" s="21" t="n"/>
    </row>
    <row r="643" ht="15.75" customHeight="1" s="102">
      <c r="B643" s="21" t="n"/>
    </row>
    <row r="644" ht="15.75" customHeight="1" s="102">
      <c r="B644" s="21" t="n"/>
    </row>
    <row r="645" ht="15.75" customHeight="1" s="102">
      <c r="B645" s="21" t="n"/>
    </row>
    <row r="646" ht="15.75" customHeight="1" s="102">
      <c r="B646" s="21" t="n"/>
    </row>
    <row r="647" ht="15.75" customHeight="1" s="102">
      <c r="B647" s="21" t="n"/>
    </row>
    <row r="648" ht="15.75" customHeight="1" s="102">
      <c r="B648" s="21" t="n"/>
    </row>
    <row r="649" ht="15.75" customHeight="1" s="102">
      <c r="B649" s="21" t="n"/>
    </row>
    <row r="650" ht="15.75" customHeight="1" s="102">
      <c r="B650" s="21" t="n"/>
    </row>
    <row r="651" ht="15.75" customHeight="1" s="102">
      <c r="B651" s="21" t="n"/>
    </row>
    <row r="652" ht="15.75" customHeight="1" s="102">
      <c r="B652" s="21" t="n"/>
    </row>
    <row r="653" ht="15.75" customHeight="1" s="102">
      <c r="B653" s="21" t="n"/>
    </row>
    <row r="654" ht="15.75" customHeight="1" s="102">
      <c r="B654" s="21" t="n"/>
    </row>
    <row r="655" ht="15.75" customHeight="1" s="102">
      <c r="B655" s="21" t="n"/>
    </row>
    <row r="656" ht="15.75" customHeight="1" s="102">
      <c r="B656" s="21" t="n"/>
    </row>
    <row r="657" ht="15.75" customHeight="1" s="102">
      <c r="B657" s="21" t="n"/>
    </row>
    <row r="658" ht="15.75" customHeight="1" s="102">
      <c r="B658" s="21" t="n"/>
    </row>
    <row r="659" ht="15.75" customHeight="1" s="102">
      <c r="B659" s="21" t="n"/>
    </row>
    <row r="660" ht="15.75" customHeight="1" s="102">
      <c r="B660" s="21" t="n"/>
    </row>
    <row r="661" ht="15.75" customHeight="1" s="102">
      <c r="B661" s="21" t="n"/>
    </row>
    <row r="662" ht="15.75" customHeight="1" s="102">
      <c r="B662" s="21" t="n"/>
    </row>
    <row r="663" ht="15.75" customHeight="1" s="102">
      <c r="B663" s="21" t="n"/>
    </row>
    <row r="664" ht="15.75" customHeight="1" s="102">
      <c r="B664" s="21" t="n"/>
    </row>
    <row r="665" ht="15.75" customHeight="1" s="102">
      <c r="B665" s="21" t="n"/>
    </row>
    <row r="666" ht="15.75" customHeight="1" s="102">
      <c r="B666" s="21" t="n"/>
    </row>
    <row r="667" ht="15.75" customHeight="1" s="102">
      <c r="B667" s="21" t="n"/>
    </row>
    <row r="668" ht="15.75" customHeight="1" s="102">
      <c r="B668" s="21" t="n"/>
    </row>
    <row r="669" ht="15.75" customHeight="1" s="102">
      <c r="B669" s="21" t="n"/>
    </row>
    <row r="670" ht="15.75" customHeight="1" s="102">
      <c r="B670" s="21" t="n"/>
    </row>
    <row r="671" ht="15.75" customHeight="1" s="102">
      <c r="B671" s="21" t="n"/>
    </row>
    <row r="672" ht="15.75" customHeight="1" s="102">
      <c r="B672" s="21" t="n"/>
    </row>
    <row r="673" ht="15.75" customHeight="1" s="102">
      <c r="B673" s="21" t="n"/>
    </row>
    <row r="674" ht="15.75" customHeight="1" s="102">
      <c r="B674" s="21" t="n"/>
    </row>
    <row r="675" ht="15.75" customHeight="1" s="102">
      <c r="B675" s="21" t="n"/>
    </row>
    <row r="676" ht="15.75" customHeight="1" s="102">
      <c r="B676" s="21" t="n"/>
    </row>
    <row r="677" ht="15.75" customHeight="1" s="102">
      <c r="B677" s="21" t="n"/>
    </row>
    <row r="678" ht="15.75" customHeight="1" s="102">
      <c r="B678" s="21" t="n"/>
    </row>
    <row r="679" ht="15.75" customHeight="1" s="102">
      <c r="B679" s="21" t="n"/>
    </row>
    <row r="680" ht="15.75" customHeight="1" s="102">
      <c r="B680" s="21" t="n"/>
    </row>
    <row r="681" ht="15.75" customHeight="1" s="102">
      <c r="B681" s="21" t="n"/>
    </row>
    <row r="682" ht="15.75" customHeight="1" s="102">
      <c r="B682" s="21" t="n"/>
    </row>
    <row r="683" ht="15.75" customHeight="1" s="102">
      <c r="B683" s="21" t="n"/>
    </row>
    <row r="684" ht="15.75" customHeight="1" s="102">
      <c r="B684" s="21" t="n"/>
    </row>
    <row r="685" ht="15.75" customHeight="1" s="102">
      <c r="B685" s="21" t="n"/>
    </row>
    <row r="686" ht="15.75" customHeight="1" s="102">
      <c r="B686" s="21" t="n"/>
    </row>
    <row r="687" ht="15.75" customHeight="1" s="102">
      <c r="B687" s="21" t="n"/>
    </row>
    <row r="688" ht="15.75" customHeight="1" s="102">
      <c r="B688" s="21" t="n"/>
    </row>
    <row r="689" ht="15.75" customHeight="1" s="102">
      <c r="B689" s="21" t="n"/>
    </row>
    <row r="690" ht="15.75" customHeight="1" s="102">
      <c r="B690" s="21" t="n"/>
    </row>
    <row r="691" ht="15.75" customHeight="1" s="102">
      <c r="B691" s="21" t="n"/>
    </row>
    <row r="692" ht="15.75" customHeight="1" s="102">
      <c r="B692" s="21" t="n"/>
    </row>
    <row r="693" ht="15.75" customHeight="1" s="102">
      <c r="B693" s="21" t="n"/>
    </row>
    <row r="694" ht="15.75" customHeight="1" s="102">
      <c r="B694" s="21" t="n"/>
    </row>
    <row r="695" ht="15.75" customHeight="1" s="102">
      <c r="B695" s="21" t="n"/>
    </row>
    <row r="696" ht="15.75" customHeight="1" s="102">
      <c r="B696" s="21" t="n"/>
    </row>
    <row r="697" ht="15.75" customHeight="1" s="102">
      <c r="B697" s="21" t="n"/>
    </row>
    <row r="698" ht="15.75" customHeight="1" s="102">
      <c r="B698" s="21" t="n"/>
    </row>
    <row r="699" ht="15.75" customHeight="1" s="102">
      <c r="B699" s="21" t="n"/>
    </row>
    <row r="700" ht="15.75" customHeight="1" s="102">
      <c r="B700" s="21" t="n"/>
    </row>
    <row r="701" ht="15.75" customHeight="1" s="102">
      <c r="B701" s="21" t="n"/>
    </row>
    <row r="702" ht="15.75" customHeight="1" s="102">
      <c r="B702" s="21" t="n"/>
    </row>
    <row r="703" ht="15.75" customHeight="1" s="102">
      <c r="B703" s="21" t="n"/>
    </row>
    <row r="704" ht="15.75" customHeight="1" s="102">
      <c r="B704" s="21" t="n"/>
    </row>
    <row r="705" ht="15.75" customHeight="1" s="102">
      <c r="B705" s="21" t="n"/>
    </row>
    <row r="706" ht="15.75" customHeight="1" s="102">
      <c r="B706" s="21" t="n"/>
    </row>
    <row r="707" ht="15.75" customHeight="1" s="102">
      <c r="B707" s="21" t="n"/>
    </row>
    <row r="708" ht="15.75" customHeight="1" s="102">
      <c r="B708" s="21" t="n"/>
    </row>
    <row r="709" ht="15.75" customHeight="1" s="102">
      <c r="B709" s="21" t="n"/>
    </row>
    <row r="710" ht="15.75" customHeight="1" s="102">
      <c r="B710" s="21" t="n"/>
    </row>
    <row r="711" ht="15.75" customHeight="1" s="102">
      <c r="B711" s="21" t="n"/>
    </row>
    <row r="712" ht="15.75" customHeight="1" s="102">
      <c r="B712" s="21" t="n"/>
    </row>
    <row r="713" ht="15.75" customHeight="1" s="102">
      <c r="B713" s="21" t="n"/>
    </row>
    <row r="714" ht="15.75" customHeight="1" s="102">
      <c r="B714" s="21" t="n"/>
    </row>
    <row r="715" ht="15.75" customHeight="1" s="102">
      <c r="B715" s="21" t="n"/>
    </row>
    <row r="716" ht="15.75" customHeight="1" s="102">
      <c r="B716" s="21" t="n"/>
    </row>
    <row r="717" ht="15.75" customHeight="1" s="102">
      <c r="B717" s="21" t="n"/>
    </row>
    <row r="718" ht="15.75" customHeight="1" s="102">
      <c r="B718" s="21" t="n"/>
    </row>
    <row r="719" ht="15.75" customHeight="1" s="102">
      <c r="B719" s="21" t="n"/>
    </row>
    <row r="720" ht="15.75" customHeight="1" s="102">
      <c r="B720" s="21" t="n"/>
    </row>
    <row r="721" ht="15.75" customHeight="1" s="102">
      <c r="B721" s="21" t="n"/>
    </row>
    <row r="722" ht="15.75" customHeight="1" s="102">
      <c r="B722" s="21" t="n"/>
    </row>
    <row r="723" ht="15.75" customHeight="1" s="102">
      <c r="B723" s="21" t="n"/>
    </row>
    <row r="724" ht="15.75" customHeight="1" s="102">
      <c r="B724" s="21" t="n"/>
    </row>
    <row r="725" ht="15.75" customHeight="1" s="102">
      <c r="B725" s="21" t="n"/>
    </row>
    <row r="726" ht="15.75" customHeight="1" s="102">
      <c r="B726" s="21" t="n"/>
    </row>
    <row r="727" ht="15.75" customHeight="1" s="102">
      <c r="B727" s="21" t="n"/>
    </row>
    <row r="728" ht="15.75" customHeight="1" s="102">
      <c r="B728" s="21" t="n"/>
    </row>
    <row r="729" ht="15.75" customHeight="1" s="102">
      <c r="B729" s="21" t="n"/>
    </row>
    <row r="730" ht="15.75" customHeight="1" s="102">
      <c r="B730" s="21" t="n"/>
    </row>
    <row r="731" ht="15.75" customHeight="1" s="102">
      <c r="B731" s="21" t="n"/>
    </row>
    <row r="732" ht="15.75" customHeight="1" s="102">
      <c r="B732" s="21" t="n"/>
    </row>
    <row r="733" ht="15.75" customHeight="1" s="102">
      <c r="B733" s="21" t="n"/>
    </row>
    <row r="734" ht="15.75" customHeight="1" s="102">
      <c r="B734" s="21" t="n"/>
    </row>
    <row r="735" ht="15.75" customHeight="1" s="102">
      <c r="B735" s="21" t="n"/>
    </row>
    <row r="736" ht="15.75" customHeight="1" s="102">
      <c r="B736" s="21" t="n"/>
    </row>
    <row r="737" ht="15.75" customHeight="1" s="102">
      <c r="B737" s="21" t="n"/>
    </row>
    <row r="738" ht="15.75" customHeight="1" s="102">
      <c r="B738" s="21" t="n"/>
    </row>
    <row r="739" ht="15.75" customHeight="1" s="102">
      <c r="B739" s="21" t="n"/>
    </row>
    <row r="740" ht="15.75" customHeight="1" s="102">
      <c r="B740" s="21" t="n"/>
    </row>
    <row r="741" ht="15.75" customHeight="1" s="102">
      <c r="B741" s="21" t="n"/>
    </row>
    <row r="742" ht="15.75" customHeight="1" s="102">
      <c r="B742" s="21" t="n"/>
    </row>
    <row r="743" ht="15.75" customHeight="1" s="102">
      <c r="B743" s="21" t="n"/>
    </row>
    <row r="744" ht="15.75" customHeight="1" s="102">
      <c r="B744" s="21" t="n"/>
    </row>
    <row r="745" ht="15.75" customHeight="1" s="102">
      <c r="B745" s="21" t="n"/>
    </row>
    <row r="746" ht="15.75" customHeight="1" s="102">
      <c r="B746" s="21" t="n"/>
    </row>
    <row r="747" ht="15.75" customHeight="1" s="102">
      <c r="B747" s="21" t="n"/>
    </row>
    <row r="748" ht="15.75" customHeight="1" s="102">
      <c r="B748" s="21" t="n"/>
    </row>
    <row r="749" ht="15.75" customHeight="1" s="102">
      <c r="B749" s="21" t="n"/>
    </row>
    <row r="750" ht="15.75" customHeight="1" s="102">
      <c r="B750" s="21" t="n"/>
    </row>
    <row r="751" ht="15.75" customHeight="1" s="102">
      <c r="B751" s="21" t="n"/>
    </row>
    <row r="752" ht="15.75" customHeight="1" s="102">
      <c r="B752" s="21" t="n"/>
    </row>
    <row r="753" ht="15.75" customHeight="1" s="102">
      <c r="B753" s="21" t="n"/>
    </row>
    <row r="754" ht="15.75" customHeight="1" s="102">
      <c r="B754" s="21" t="n"/>
    </row>
    <row r="755" ht="15.75" customHeight="1" s="102">
      <c r="B755" s="21" t="n"/>
    </row>
    <row r="756" ht="15.75" customHeight="1" s="102">
      <c r="B756" s="21" t="n"/>
    </row>
    <row r="757" ht="15.75" customHeight="1" s="102">
      <c r="B757" s="21" t="n"/>
    </row>
    <row r="758" ht="15.75" customHeight="1" s="102">
      <c r="B758" s="21" t="n"/>
    </row>
    <row r="759" ht="15.75" customHeight="1" s="102">
      <c r="B759" s="21" t="n"/>
    </row>
    <row r="760" ht="15.75" customHeight="1" s="102">
      <c r="B760" s="21" t="n"/>
    </row>
    <row r="761" ht="15.75" customHeight="1" s="102">
      <c r="B761" s="21" t="n"/>
    </row>
    <row r="762" ht="15.75" customHeight="1" s="102">
      <c r="B762" s="21" t="n"/>
    </row>
    <row r="763" ht="15.75" customHeight="1" s="102">
      <c r="B763" s="21" t="n"/>
    </row>
    <row r="764" ht="15.75" customHeight="1" s="102">
      <c r="B764" s="21" t="n"/>
    </row>
    <row r="765" ht="15.75" customHeight="1" s="102">
      <c r="B765" s="21" t="n"/>
    </row>
    <row r="766" ht="15.75" customHeight="1" s="102">
      <c r="B766" s="21" t="n"/>
    </row>
    <row r="767" ht="15.75" customHeight="1" s="102">
      <c r="B767" s="21" t="n"/>
    </row>
    <row r="768" ht="15.75" customHeight="1" s="102">
      <c r="B768" s="21" t="n"/>
    </row>
    <row r="769" ht="15.75" customHeight="1" s="102">
      <c r="B769" s="21" t="n"/>
    </row>
    <row r="770" ht="15.75" customHeight="1" s="102">
      <c r="B770" s="21" t="n"/>
    </row>
    <row r="771" ht="15.75" customHeight="1" s="102">
      <c r="B771" s="21" t="n"/>
    </row>
    <row r="772" ht="15.75" customHeight="1" s="102">
      <c r="B772" s="21" t="n"/>
    </row>
    <row r="773" ht="15.75" customHeight="1" s="102">
      <c r="B773" s="21" t="n"/>
    </row>
    <row r="774" ht="15.75" customHeight="1" s="102">
      <c r="B774" s="21" t="n"/>
    </row>
    <row r="775" ht="15.75" customHeight="1" s="102">
      <c r="B775" s="21" t="n"/>
    </row>
    <row r="776" ht="15.75" customHeight="1" s="102">
      <c r="B776" s="21" t="n"/>
    </row>
    <row r="777" ht="15.75" customHeight="1" s="102">
      <c r="B777" s="21" t="n"/>
    </row>
    <row r="778" ht="15.75" customHeight="1" s="102">
      <c r="B778" s="21" t="n"/>
    </row>
    <row r="779" ht="15.75" customHeight="1" s="102">
      <c r="B779" s="21" t="n"/>
    </row>
    <row r="780" ht="15.75" customHeight="1" s="102">
      <c r="B780" s="21" t="n"/>
    </row>
    <row r="781" ht="15.75" customHeight="1" s="102">
      <c r="B781" s="21" t="n"/>
    </row>
    <row r="782" ht="15.75" customHeight="1" s="102">
      <c r="B782" s="21" t="n"/>
    </row>
    <row r="783" ht="15.75" customHeight="1" s="102">
      <c r="B783" s="21" t="n"/>
    </row>
    <row r="784" ht="15.75" customHeight="1" s="102">
      <c r="B784" s="21" t="n"/>
    </row>
    <row r="785" ht="15.75" customHeight="1" s="102">
      <c r="B785" s="21" t="n"/>
    </row>
    <row r="786" ht="15.75" customHeight="1" s="102">
      <c r="B786" s="21" t="n"/>
    </row>
    <row r="787" ht="15.75" customHeight="1" s="102">
      <c r="B787" s="21" t="n"/>
    </row>
    <row r="788" ht="15.75" customHeight="1" s="102">
      <c r="B788" s="21" t="n"/>
    </row>
    <row r="789" ht="15.75" customHeight="1" s="102">
      <c r="B789" s="21" t="n"/>
    </row>
    <row r="790" ht="15.75" customHeight="1" s="102">
      <c r="B790" s="21" t="n"/>
    </row>
    <row r="791" ht="15.75" customHeight="1" s="102">
      <c r="B791" s="21" t="n"/>
    </row>
    <row r="792" ht="15.75" customHeight="1" s="102">
      <c r="B792" s="21" t="n"/>
    </row>
    <row r="793" ht="15.75" customHeight="1" s="102">
      <c r="B793" s="21" t="n"/>
    </row>
    <row r="794" ht="15.75" customHeight="1" s="102">
      <c r="B794" s="21" t="n"/>
    </row>
    <row r="795" ht="15.75" customHeight="1" s="102">
      <c r="B795" s="21" t="n"/>
    </row>
    <row r="796" ht="15.75" customHeight="1" s="102">
      <c r="B796" s="21" t="n"/>
    </row>
    <row r="797" ht="15.75" customHeight="1" s="102">
      <c r="B797" s="21" t="n"/>
    </row>
    <row r="798" ht="15.75" customHeight="1" s="102">
      <c r="B798" s="21" t="n"/>
    </row>
    <row r="799" ht="15.75" customHeight="1" s="102">
      <c r="B799" s="21" t="n"/>
    </row>
    <row r="800" ht="15.75" customHeight="1" s="102">
      <c r="B800" s="21" t="n"/>
    </row>
    <row r="801" ht="15.75" customHeight="1" s="102">
      <c r="B801" s="21" t="n"/>
    </row>
    <row r="802" ht="15.75" customHeight="1" s="102">
      <c r="B802" s="21" t="n"/>
    </row>
    <row r="803" ht="15.75" customHeight="1" s="102">
      <c r="B803" s="21" t="n"/>
    </row>
    <row r="804" ht="15.75" customHeight="1" s="102">
      <c r="B804" s="21" t="n"/>
    </row>
    <row r="805" ht="15.75" customHeight="1" s="102">
      <c r="B805" s="21" t="n"/>
    </row>
    <row r="806" ht="15.75" customHeight="1" s="102">
      <c r="B806" s="21" t="n"/>
    </row>
    <row r="807" ht="15.75" customHeight="1" s="102">
      <c r="B807" s="21" t="n"/>
    </row>
    <row r="808" ht="15.75" customHeight="1" s="102">
      <c r="B808" s="21" t="n"/>
    </row>
    <row r="809" ht="15.75" customHeight="1" s="102">
      <c r="B809" s="21" t="n"/>
    </row>
    <row r="810" ht="15.75" customHeight="1" s="102">
      <c r="B810" s="21" t="n"/>
    </row>
    <row r="811" ht="15.75" customHeight="1" s="102">
      <c r="B811" s="21" t="n"/>
    </row>
    <row r="812" ht="15.75" customHeight="1" s="102">
      <c r="B812" s="21" t="n"/>
    </row>
    <row r="813" ht="15.75" customHeight="1" s="102">
      <c r="B813" s="21" t="n"/>
    </row>
    <row r="814" ht="15.75" customHeight="1" s="102">
      <c r="B814" s="21" t="n"/>
    </row>
    <row r="815" ht="15.75" customHeight="1" s="102">
      <c r="B815" s="21" t="n"/>
    </row>
    <row r="816" ht="15.75" customHeight="1" s="102">
      <c r="B816" s="21" t="n"/>
    </row>
    <row r="817" ht="15.75" customHeight="1" s="102">
      <c r="B817" s="21" t="n"/>
    </row>
    <row r="818" ht="15.75" customHeight="1" s="102">
      <c r="B818" s="21" t="n"/>
    </row>
    <row r="819" ht="15.75" customHeight="1" s="102">
      <c r="B819" s="21" t="n"/>
    </row>
    <row r="820" ht="15.75" customHeight="1" s="102">
      <c r="B820" s="21" t="n"/>
    </row>
    <row r="821" ht="15.75" customHeight="1" s="102">
      <c r="B821" s="21" t="n"/>
    </row>
    <row r="822" ht="15.75" customHeight="1" s="102">
      <c r="B822" s="21" t="n"/>
    </row>
    <row r="823" ht="15.75" customHeight="1" s="102">
      <c r="B823" s="21" t="n"/>
    </row>
    <row r="824" ht="15.75" customHeight="1" s="102">
      <c r="B824" s="21" t="n"/>
    </row>
    <row r="825" ht="15.75" customHeight="1" s="102">
      <c r="B825" s="21" t="n"/>
    </row>
    <row r="826" ht="15.75" customHeight="1" s="102">
      <c r="B826" s="21" t="n"/>
    </row>
    <row r="827" ht="15.75" customHeight="1" s="102">
      <c r="B827" s="21" t="n"/>
    </row>
    <row r="828" ht="15.75" customHeight="1" s="102">
      <c r="B828" s="21" t="n"/>
    </row>
    <row r="829" ht="15.75" customHeight="1" s="102">
      <c r="B829" s="21" t="n"/>
    </row>
    <row r="830" ht="15.75" customHeight="1" s="102">
      <c r="B830" s="21" t="n"/>
    </row>
    <row r="831" ht="15.75" customHeight="1" s="102">
      <c r="B831" s="21" t="n"/>
    </row>
    <row r="832" ht="15.75" customHeight="1" s="102">
      <c r="B832" s="21" t="n"/>
    </row>
    <row r="833" ht="15.75" customHeight="1" s="102">
      <c r="B833" s="21" t="n"/>
    </row>
    <row r="834" ht="15.75" customHeight="1" s="102">
      <c r="B834" s="21" t="n"/>
    </row>
    <row r="835" ht="15.75" customHeight="1" s="102">
      <c r="B835" s="21" t="n"/>
    </row>
    <row r="836" ht="15.75" customHeight="1" s="102">
      <c r="B836" s="21" t="n"/>
    </row>
    <row r="837" ht="15.75" customHeight="1" s="102">
      <c r="B837" s="21" t="n"/>
    </row>
    <row r="838" ht="15.75" customHeight="1" s="102">
      <c r="B838" s="21" t="n"/>
    </row>
    <row r="839" ht="15.75" customHeight="1" s="102">
      <c r="B839" s="21" t="n"/>
    </row>
    <row r="840" ht="15.75" customHeight="1" s="102">
      <c r="B840" s="21" t="n"/>
    </row>
    <row r="841" ht="15.75" customHeight="1" s="102">
      <c r="B841" s="21" t="n"/>
    </row>
    <row r="842" ht="15.75" customHeight="1" s="102">
      <c r="B842" s="21" t="n"/>
    </row>
    <row r="843" ht="15.75" customHeight="1" s="102">
      <c r="B843" s="21" t="n"/>
    </row>
    <row r="844" ht="15.75" customHeight="1" s="102">
      <c r="B844" s="21" t="n"/>
    </row>
    <row r="845" ht="15.75" customHeight="1" s="102">
      <c r="B845" s="21" t="n"/>
    </row>
    <row r="846" ht="15.75" customHeight="1" s="102">
      <c r="B846" s="21" t="n"/>
    </row>
    <row r="847" ht="15.75" customHeight="1" s="102">
      <c r="B847" s="21" t="n"/>
    </row>
    <row r="848" ht="15.75" customHeight="1" s="102">
      <c r="B848" s="21" t="n"/>
    </row>
    <row r="849" ht="15.75" customHeight="1" s="102">
      <c r="B849" s="21" t="n"/>
    </row>
    <row r="850" ht="15.75" customHeight="1" s="102">
      <c r="B850" s="21" t="n"/>
    </row>
    <row r="851" ht="15.75" customHeight="1" s="102">
      <c r="B851" s="21" t="n"/>
    </row>
    <row r="852" ht="15.75" customHeight="1" s="102">
      <c r="B852" s="21" t="n"/>
    </row>
    <row r="853" ht="15.75" customHeight="1" s="102">
      <c r="B853" s="21" t="n"/>
    </row>
    <row r="854" ht="15.75" customHeight="1" s="102">
      <c r="B854" s="21" t="n"/>
    </row>
    <row r="855" ht="15.75" customHeight="1" s="102">
      <c r="B855" s="21" t="n"/>
    </row>
    <row r="856" ht="15.75" customHeight="1" s="102">
      <c r="B856" s="21" t="n"/>
    </row>
    <row r="857" ht="15.75" customHeight="1" s="102">
      <c r="B857" s="21" t="n"/>
    </row>
    <row r="858" ht="15.75" customHeight="1" s="102">
      <c r="B858" s="21" t="n"/>
    </row>
    <row r="859" ht="15.75" customHeight="1" s="102">
      <c r="B859" s="21" t="n"/>
    </row>
    <row r="860" ht="15.75" customHeight="1" s="102">
      <c r="B860" s="21" t="n"/>
    </row>
    <row r="861" ht="15.75" customHeight="1" s="102">
      <c r="B861" s="21" t="n"/>
    </row>
    <row r="862" ht="15.75" customHeight="1" s="102">
      <c r="B862" s="21" t="n"/>
    </row>
    <row r="863" ht="15.75" customHeight="1" s="102">
      <c r="B863" s="21" t="n"/>
    </row>
    <row r="864" ht="15.75" customHeight="1" s="102">
      <c r="B864" s="21" t="n"/>
    </row>
    <row r="865" ht="15.75" customHeight="1" s="102">
      <c r="B865" s="21" t="n"/>
    </row>
    <row r="866" ht="15.75" customHeight="1" s="102">
      <c r="B866" s="21" t="n"/>
    </row>
    <row r="867" ht="15.75" customHeight="1" s="102">
      <c r="B867" s="21" t="n"/>
    </row>
    <row r="868" ht="15.75" customHeight="1" s="102">
      <c r="B868" s="21" t="n"/>
    </row>
    <row r="869" ht="15.75" customHeight="1" s="102">
      <c r="B869" s="21" t="n"/>
    </row>
    <row r="870" ht="15.75" customHeight="1" s="102">
      <c r="B870" s="21" t="n"/>
    </row>
    <row r="871" ht="15.75" customHeight="1" s="102">
      <c r="B871" s="21" t="n"/>
    </row>
    <row r="872" ht="15.75" customHeight="1" s="102">
      <c r="B872" s="21" t="n"/>
    </row>
    <row r="873" ht="15.75" customHeight="1" s="102">
      <c r="B873" s="21" t="n"/>
    </row>
    <row r="874" ht="15.75" customHeight="1" s="102">
      <c r="B874" s="21" t="n"/>
    </row>
    <row r="875" ht="15.75" customHeight="1" s="102">
      <c r="B875" s="21" t="n"/>
    </row>
    <row r="876" ht="15.75" customHeight="1" s="102">
      <c r="B876" s="21" t="n"/>
    </row>
    <row r="877" ht="15.75" customHeight="1" s="102">
      <c r="B877" s="21" t="n"/>
    </row>
    <row r="878" ht="15.75" customHeight="1" s="102">
      <c r="B878" s="21" t="n"/>
    </row>
    <row r="879" ht="15.75" customHeight="1" s="102">
      <c r="B879" s="21" t="n"/>
    </row>
    <row r="880" ht="15.75" customHeight="1" s="102">
      <c r="B880" s="21" t="n"/>
    </row>
    <row r="881" ht="15.75" customHeight="1" s="102">
      <c r="B881" s="21" t="n"/>
    </row>
    <row r="882" ht="15.75" customHeight="1" s="102">
      <c r="B882" s="21" t="n"/>
    </row>
    <row r="883" ht="15.75" customHeight="1" s="102">
      <c r="B883" s="21" t="n"/>
    </row>
    <row r="884" ht="15.75" customHeight="1" s="102">
      <c r="B884" s="21" t="n"/>
    </row>
    <row r="885" ht="15.75" customHeight="1" s="102">
      <c r="B885" s="21" t="n"/>
    </row>
    <row r="886" ht="15.75" customHeight="1" s="102">
      <c r="B886" s="21" t="n"/>
    </row>
    <row r="887" ht="15.75" customHeight="1" s="102">
      <c r="B887" s="21" t="n"/>
    </row>
    <row r="888" ht="15.75" customHeight="1" s="102">
      <c r="B888" s="21" t="n"/>
    </row>
    <row r="889" ht="15.75" customHeight="1" s="102">
      <c r="B889" s="21" t="n"/>
    </row>
    <row r="890" ht="15.75" customHeight="1" s="102">
      <c r="B890" s="21" t="n"/>
    </row>
    <row r="891" ht="15.75" customHeight="1" s="102">
      <c r="B891" s="21" t="n"/>
    </row>
    <row r="892" ht="15.75" customHeight="1" s="102">
      <c r="B892" s="21" t="n"/>
    </row>
    <row r="893" ht="15.75" customHeight="1" s="102">
      <c r="B893" s="21" t="n"/>
    </row>
    <row r="894" ht="15.75" customHeight="1" s="102">
      <c r="B894" s="21" t="n"/>
    </row>
    <row r="895" ht="15.75" customHeight="1" s="102">
      <c r="B895" s="21" t="n"/>
    </row>
    <row r="896" ht="15.75" customHeight="1" s="102">
      <c r="B896" s="21" t="n"/>
    </row>
    <row r="897" ht="15.75" customHeight="1" s="102">
      <c r="B897" s="21" t="n"/>
    </row>
    <row r="898" ht="15.75" customHeight="1" s="102">
      <c r="B898" s="21" t="n"/>
    </row>
    <row r="899" ht="15.75" customHeight="1" s="102">
      <c r="B899" s="21" t="n"/>
    </row>
    <row r="900" ht="15.75" customHeight="1" s="102">
      <c r="B900" s="21" t="n"/>
    </row>
    <row r="901" ht="15.75" customHeight="1" s="102">
      <c r="B901" s="21" t="n"/>
    </row>
    <row r="902" ht="15.75" customHeight="1" s="102">
      <c r="B902" s="21" t="n"/>
    </row>
    <row r="903" ht="15.75" customHeight="1" s="102">
      <c r="B903" s="21" t="n"/>
    </row>
    <row r="904" ht="15.75" customHeight="1" s="102">
      <c r="B904" s="21" t="n"/>
    </row>
    <row r="905" ht="15.75" customHeight="1" s="102">
      <c r="B905" s="21" t="n"/>
    </row>
    <row r="906" ht="15.75" customHeight="1" s="102">
      <c r="B906" s="21" t="n"/>
    </row>
    <row r="907" ht="15.75" customHeight="1" s="102">
      <c r="B907" s="21" t="n"/>
    </row>
    <row r="908" ht="15.75" customHeight="1" s="102">
      <c r="B908" s="21" t="n"/>
    </row>
    <row r="909" ht="15.75" customHeight="1" s="102">
      <c r="B909" s="21" t="n"/>
    </row>
    <row r="910" ht="15.75" customHeight="1" s="102">
      <c r="B910" s="21" t="n"/>
    </row>
    <row r="911" ht="15.75" customHeight="1" s="102">
      <c r="B911" s="21" t="n"/>
    </row>
    <row r="912" ht="15.75" customHeight="1" s="102">
      <c r="B912" s="21" t="n"/>
    </row>
    <row r="913" ht="15.75" customHeight="1" s="102">
      <c r="B913" s="21" t="n"/>
    </row>
    <row r="914" ht="15.75" customHeight="1" s="102">
      <c r="B914" s="21" t="n"/>
    </row>
    <row r="915" ht="15.75" customHeight="1" s="102">
      <c r="B915" s="21" t="n"/>
    </row>
    <row r="916" ht="15.75" customHeight="1" s="102">
      <c r="B916" s="21" t="n"/>
    </row>
    <row r="917" ht="15.75" customHeight="1" s="102">
      <c r="B917" s="21" t="n"/>
    </row>
    <row r="918" ht="15.75" customHeight="1" s="102">
      <c r="B918" s="21" t="n"/>
    </row>
    <row r="919" ht="15.75" customHeight="1" s="102">
      <c r="B919" s="21" t="n"/>
    </row>
    <row r="920" ht="15.75" customHeight="1" s="102">
      <c r="B920" s="21" t="n"/>
    </row>
    <row r="921" ht="15.75" customHeight="1" s="102">
      <c r="B921" s="21" t="n"/>
    </row>
    <row r="922" ht="15.75" customHeight="1" s="102">
      <c r="B922" s="21" t="n"/>
    </row>
    <row r="923" ht="15.75" customHeight="1" s="102">
      <c r="B923" s="21" t="n"/>
    </row>
    <row r="924" ht="15.75" customHeight="1" s="102">
      <c r="B924" s="21" t="n"/>
    </row>
    <row r="925" ht="15.75" customHeight="1" s="102">
      <c r="B925" s="21" t="n"/>
    </row>
    <row r="926" ht="15.75" customHeight="1" s="102">
      <c r="B926" s="21" t="n"/>
    </row>
    <row r="927" ht="15.75" customHeight="1" s="102">
      <c r="B927" s="21" t="n"/>
    </row>
    <row r="928" ht="15.75" customHeight="1" s="102">
      <c r="B928" s="21" t="n"/>
    </row>
    <row r="929" ht="15.75" customHeight="1" s="102">
      <c r="B929" s="21" t="n"/>
    </row>
    <row r="930" ht="15.75" customHeight="1" s="102">
      <c r="B930" s="21" t="n"/>
    </row>
    <row r="931" ht="15.75" customHeight="1" s="102">
      <c r="B931" s="21" t="n"/>
    </row>
    <row r="932" ht="15.75" customHeight="1" s="102">
      <c r="B932" s="21" t="n"/>
    </row>
    <row r="933" ht="15.75" customHeight="1" s="102">
      <c r="B933" s="21" t="n"/>
    </row>
    <row r="934" ht="15.75" customHeight="1" s="102">
      <c r="B934" s="21" t="n"/>
    </row>
    <row r="935" ht="15.75" customHeight="1" s="102">
      <c r="B935" s="21" t="n"/>
    </row>
    <row r="936" ht="15.75" customHeight="1" s="102">
      <c r="B936" s="21" t="n"/>
    </row>
    <row r="937" ht="15.75" customHeight="1" s="102">
      <c r="B937" s="21" t="n"/>
    </row>
    <row r="938" ht="15.75" customHeight="1" s="102">
      <c r="B938" s="21" t="n"/>
    </row>
    <row r="939" ht="15.75" customHeight="1" s="102">
      <c r="B939" s="21" t="n"/>
    </row>
    <row r="940" ht="15.75" customHeight="1" s="102">
      <c r="B940" s="21" t="n"/>
    </row>
    <row r="941" ht="15.75" customHeight="1" s="102">
      <c r="B941" s="21" t="n"/>
    </row>
    <row r="942" ht="15.75" customHeight="1" s="102">
      <c r="B942" s="21" t="n"/>
    </row>
    <row r="943" ht="15.75" customHeight="1" s="102">
      <c r="B943" s="21" t="n"/>
    </row>
    <row r="944" ht="15.75" customHeight="1" s="102">
      <c r="B944" s="21" t="n"/>
    </row>
    <row r="945" ht="15.75" customHeight="1" s="102">
      <c r="B945" s="21" t="n"/>
    </row>
    <row r="946" ht="15.75" customHeight="1" s="102">
      <c r="B946" s="21" t="n"/>
    </row>
    <row r="947" ht="15.75" customHeight="1" s="102">
      <c r="B947" s="21" t="n"/>
    </row>
    <row r="948" ht="15.75" customHeight="1" s="102">
      <c r="B948" s="21" t="n"/>
    </row>
    <row r="949" ht="15.75" customHeight="1" s="102">
      <c r="B949" s="21" t="n"/>
    </row>
    <row r="950" ht="15.75" customHeight="1" s="102">
      <c r="B950" s="21" t="n"/>
    </row>
    <row r="951" ht="15.75" customHeight="1" s="102">
      <c r="B951" s="21" t="n"/>
    </row>
    <row r="952" ht="15.75" customHeight="1" s="102">
      <c r="B952" s="21" t="n"/>
    </row>
    <row r="953" ht="15.75" customHeight="1" s="102">
      <c r="B953" s="21" t="n"/>
    </row>
    <row r="954" ht="15.75" customHeight="1" s="102">
      <c r="B954" s="21" t="n"/>
    </row>
    <row r="955" ht="15.75" customHeight="1" s="102">
      <c r="B955" s="21" t="n"/>
    </row>
    <row r="956" ht="15.75" customHeight="1" s="102">
      <c r="B956" s="21" t="n"/>
    </row>
    <row r="957" ht="15.75" customHeight="1" s="102">
      <c r="B957" s="21" t="n"/>
    </row>
    <row r="958" ht="15.75" customHeight="1" s="102">
      <c r="B958" s="21" t="n"/>
    </row>
    <row r="959" ht="15.75" customHeight="1" s="102">
      <c r="B959" s="21" t="n"/>
    </row>
    <row r="960" ht="15.75" customHeight="1" s="102">
      <c r="B960" s="21" t="n"/>
    </row>
    <row r="961" ht="15.75" customHeight="1" s="102">
      <c r="B961" s="21" t="n"/>
    </row>
    <row r="962" ht="15.75" customHeight="1" s="102">
      <c r="B962" s="21" t="n"/>
    </row>
    <row r="963" ht="15.75" customHeight="1" s="102">
      <c r="B963" s="21" t="n"/>
    </row>
    <row r="964" ht="15.75" customHeight="1" s="102">
      <c r="B964" s="21" t="n"/>
    </row>
    <row r="965" ht="15.75" customHeight="1" s="102">
      <c r="B965" s="21" t="n"/>
    </row>
    <row r="966" ht="15.75" customHeight="1" s="102">
      <c r="B966" s="21" t="n"/>
    </row>
    <row r="967" ht="15.75" customHeight="1" s="102">
      <c r="B967" s="21" t="n"/>
    </row>
    <row r="968" ht="15.75" customHeight="1" s="102">
      <c r="B968" s="21" t="n"/>
    </row>
    <row r="969" ht="15.75" customHeight="1" s="102">
      <c r="B969" s="21" t="n"/>
    </row>
    <row r="970" ht="15.75" customHeight="1" s="102">
      <c r="B970" s="21" t="n"/>
    </row>
    <row r="971" ht="15.75" customHeight="1" s="102">
      <c r="B971" s="21" t="n"/>
    </row>
    <row r="972" ht="15.75" customHeight="1" s="102">
      <c r="B972" s="21" t="n"/>
    </row>
    <row r="973" ht="15.75" customHeight="1" s="102">
      <c r="B973" s="21" t="n"/>
    </row>
    <row r="974" ht="15.75" customHeight="1" s="102">
      <c r="B974" s="21" t="n"/>
    </row>
    <row r="975" ht="15.75" customHeight="1" s="102">
      <c r="B975" s="21" t="n"/>
    </row>
    <row r="976" ht="15.75" customHeight="1" s="102">
      <c r="B976" s="21" t="n"/>
    </row>
    <row r="977" ht="15.75" customHeight="1" s="102">
      <c r="B977" s="21" t="n"/>
    </row>
    <row r="978" ht="15.75" customHeight="1" s="102">
      <c r="B978" s="21" t="n"/>
    </row>
    <row r="979" ht="15.75" customHeight="1" s="102">
      <c r="B979" s="21" t="n"/>
    </row>
    <row r="980" ht="15.75" customHeight="1" s="102">
      <c r="B980" s="21" t="n"/>
    </row>
    <row r="981" ht="15.75" customHeight="1" s="102">
      <c r="B981" s="21" t="n"/>
    </row>
    <row r="982" ht="15.75" customHeight="1" s="102">
      <c r="B982" s="21" t="n"/>
    </row>
    <row r="983" ht="15.75" customHeight="1" s="102">
      <c r="B983" s="21" t="n"/>
    </row>
    <row r="984" ht="15.75" customHeight="1" s="102">
      <c r="B984" s="21" t="n"/>
    </row>
    <row r="985" ht="15.75" customHeight="1" s="102">
      <c r="B985" s="21" t="n"/>
    </row>
    <row r="986" ht="15.75" customHeight="1" s="102">
      <c r="B986" s="21" t="n"/>
    </row>
    <row r="987" ht="15.75" customHeight="1" s="102">
      <c r="B987" s="21" t="n"/>
    </row>
    <row r="988" ht="15.75" customHeight="1" s="102">
      <c r="B988" s="21" t="n"/>
    </row>
    <row r="989" ht="15.75" customHeight="1" s="102">
      <c r="B989" s="21" t="n"/>
    </row>
    <row r="990" ht="15.75" customHeight="1" s="102">
      <c r="B990" s="21" t="n"/>
    </row>
    <row r="991" ht="15.75" customHeight="1" s="102">
      <c r="B991" s="21" t="n"/>
    </row>
    <row r="992" ht="15.75" customHeight="1" s="102">
      <c r="B992" s="21" t="n"/>
    </row>
    <row r="993" ht="15.75" customHeight="1" s="102">
      <c r="B993" s="21" t="n"/>
    </row>
    <row r="994" ht="15.75" customHeight="1" s="102">
      <c r="B994" s="21" t="n"/>
    </row>
    <row r="995" ht="15.75" customHeight="1" s="102">
      <c r="B995" s="21" t="n"/>
    </row>
    <row r="996" ht="15.75" customHeight="1" s="102">
      <c r="B996" s="21" t="n"/>
    </row>
    <row r="997" ht="15.75" customHeight="1" s="102">
      <c r="B997" s="21" t="n"/>
    </row>
    <row r="998" ht="15.75" customHeight="1" s="102">
      <c r="B998" s="21" t="n"/>
    </row>
    <row r="999" ht="15.75" customHeight="1" s="102">
      <c r="B999" s="21" t="n"/>
    </row>
    <row r="1000" ht="15.75" customHeight="1" s="102">
      <c r="B1000" s="21" t="n"/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21" r:id="rId4"/>
    <hyperlink xmlns:r="http://schemas.openxmlformats.org/officeDocument/2006/relationships" ref="C27" r:id="rId5"/>
    <hyperlink xmlns:r="http://schemas.openxmlformats.org/officeDocument/2006/relationships" ref="C34" r:id="rId6"/>
    <hyperlink xmlns:r="http://schemas.openxmlformats.org/officeDocument/2006/relationships" ref="C38" r:id="rId7"/>
    <hyperlink xmlns:r="http://schemas.openxmlformats.org/officeDocument/2006/relationships" ref="C40" r:id="rId8"/>
    <hyperlink xmlns:r="http://schemas.openxmlformats.org/officeDocument/2006/relationships" ref="C42" r:id="rId9"/>
    <hyperlink xmlns:r="http://schemas.openxmlformats.org/officeDocument/2006/relationships" ref="C43" r:id="rId10"/>
    <hyperlink xmlns:r="http://schemas.openxmlformats.org/officeDocument/2006/relationships" ref="C55" r:id="rId11"/>
    <hyperlink xmlns:r="http://schemas.openxmlformats.org/officeDocument/2006/relationships" ref="C56" r:id="rId12"/>
    <hyperlink xmlns:r="http://schemas.openxmlformats.org/officeDocument/2006/relationships" ref="C57" r:id="rId13"/>
    <hyperlink xmlns:r="http://schemas.openxmlformats.org/officeDocument/2006/relationships" ref="C58" r:id="rId14"/>
    <hyperlink xmlns:r="http://schemas.openxmlformats.org/officeDocument/2006/relationships" ref="C59" r:id="rId15"/>
    <hyperlink xmlns:r="http://schemas.openxmlformats.org/officeDocument/2006/relationships" ref="C60" r:id="rId16"/>
    <hyperlink xmlns:r="http://schemas.openxmlformats.org/officeDocument/2006/relationships" ref="C61" r:id="rId17"/>
    <hyperlink xmlns:r="http://schemas.openxmlformats.org/officeDocument/2006/relationships" ref="C62" r:id="rId18"/>
    <hyperlink xmlns:r="http://schemas.openxmlformats.org/officeDocument/2006/relationships" ref="C63" r:id="rId19"/>
    <hyperlink xmlns:r="http://schemas.openxmlformats.org/officeDocument/2006/relationships" ref="C64" r:id="rId20"/>
    <hyperlink xmlns:r="http://schemas.openxmlformats.org/officeDocument/2006/relationships" ref="C65" r:id="rId21"/>
    <hyperlink xmlns:r="http://schemas.openxmlformats.org/officeDocument/2006/relationships" ref="C66" r:id="rId22"/>
    <hyperlink xmlns:r="http://schemas.openxmlformats.org/officeDocument/2006/relationships" ref="C67" r:id="rId23"/>
    <hyperlink xmlns:r="http://schemas.openxmlformats.org/officeDocument/2006/relationships" ref="C68" r:id="rId24"/>
    <hyperlink xmlns:r="http://schemas.openxmlformats.org/officeDocument/2006/relationships" ref="C69" r:id="rId25"/>
    <hyperlink xmlns:r="http://schemas.openxmlformats.org/officeDocument/2006/relationships" ref="C70" r:id="rId26"/>
    <hyperlink xmlns:r="http://schemas.openxmlformats.org/officeDocument/2006/relationships" ref="C71" r:id="rId27"/>
    <hyperlink xmlns:r="http://schemas.openxmlformats.org/officeDocument/2006/relationships" ref="C72" r:id="rId28"/>
    <hyperlink xmlns:r="http://schemas.openxmlformats.org/officeDocument/2006/relationships" ref="C73" r:id="rId29"/>
    <hyperlink xmlns:r="http://schemas.openxmlformats.org/officeDocument/2006/relationships" ref="C74" r:id="rId30"/>
    <hyperlink xmlns:r="http://schemas.openxmlformats.org/officeDocument/2006/relationships" ref="C75" r:id="rId31"/>
    <hyperlink xmlns:r="http://schemas.openxmlformats.org/officeDocument/2006/relationships" ref="C76" r:id="rId32"/>
    <hyperlink xmlns:r="http://schemas.openxmlformats.org/officeDocument/2006/relationships" ref="C77" r:id="rId33"/>
    <hyperlink xmlns:r="http://schemas.openxmlformats.org/officeDocument/2006/relationships" ref="C78" r:id="rId34"/>
    <hyperlink xmlns:r="http://schemas.openxmlformats.org/officeDocument/2006/relationships" ref="C79" r:id="rId35"/>
    <hyperlink xmlns:r="http://schemas.openxmlformats.org/officeDocument/2006/relationships" ref="C80" r:id="rId36"/>
    <hyperlink xmlns:r="http://schemas.openxmlformats.org/officeDocument/2006/relationships" ref="C81" r:id="rId37"/>
    <hyperlink xmlns:r="http://schemas.openxmlformats.org/officeDocument/2006/relationships" ref="C82" r:id="rId38"/>
    <hyperlink xmlns:r="http://schemas.openxmlformats.org/officeDocument/2006/relationships" ref="C83" r:id="rId39"/>
    <hyperlink xmlns:r="http://schemas.openxmlformats.org/officeDocument/2006/relationships" ref="C84" r:id="rId40"/>
    <hyperlink xmlns:r="http://schemas.openxmlformats.org/officeDocument/2006/relationships" ref="C85" r:id="rId41"/>
    <hyperlink xmlns:r="http://schemas.openxmlformats.org/officeDocument/2006/relationships" ref="C86" r:id="rId42"/>
    <hyperlink xmlns:r="http://schemas.openxmlformats.org/officeDocument/2006/relationships" ref="C87" r:id="rId43"/>
    <hyperlink xmlns:r="http://schemas.openxmlformats.org/officeDocument/2006/relationships" ref="C88" r:id="rId44"/>
    <hyperlink xmlns:r="http://schemas.openxmlformats.org/officeDocument/2006/relationships" ref="C89" r:id="rId45"/>
    <hyperlink xmlns:r="http://schemas.openxmlformats.org/officeDocument/2006/relationships" ref="C90" r:id="rId46"/>
    <hyperlink xmlns:r="http://schemas.openxmlformats.org/officeDocument/2006/relationships" ref="C91" r:id="rId47"/>
    <hyperlink xmlns:r="http://schemas.openxmlformats.org/officeDocument/2006/relationships" ref="C92" r:id="rId48"/>
    <hyperlink xmlns:r="http://schemas.openxmlformats.org/officeDocument/2006/relationships" ref="C93" r:id="rId49"/>
    <hyperlink xmlns:r="http://schemas.openxmlformats.org/officeDocument/2006/relationships" ref="C94" r:id="rId50"/>
    <hyperlink xmlns:r="http://schemas.openxmlformats.org/officeDocument/2006/relationships" ref="C95" r:id="rId51"/>
    <hyperlink xmlns:r="http://schemas.openxmlformats.org/officeDocument/2006/relationships" ref="C96" r:id="rId52"/>
    <hyperlink xmlns:r="http://schemas.openxmlformats.org/officeDocument/2006/relationships" ref="C97" r:id="rId53"/>
    <hyperlink xmlns:r="http://schemas.openxmlformats.org/officeDocument/2006/relationships" ref="C98" r:id="rId54"/>
    <hyperlink xmlns:r="http://schemas.openxmlformats.org/officeDocument/2006/relationships" ref="C99" r:id="rId55"/>
    <hyperlink xmlns:r="http://schemas.openxmlformats.org/officeDocument/2006/relationships" ref="C100" r:id="rId56"/>
    <hyperlink xmlns:r="http://schemas.openxmlformats.org/officeDocument/2006/relationships" ref="C101" r:id="rId57"/>
    <hyperlink xmlns:r="http://schemas.openxmlformats.org/officeDocument/2006/relationships" ref="C102" r:id="rId58"/>
    <hyperlink xmlns:r="http://schemas.openxmlformats.org/officeDocument/2006/relationships" ref="C103" r:id="rId59"/>
    <hyperlink xmlns:r="http://schemas.openxmlformats.org/officeDocument/2006/relationships" ref="C104" r:id="rId60"/>
    <hyperlink xmlns:r="http://schemas.openxmlformats.org/officeDocument/2006/relationships" ref="C105" r:id="rId61"/>
    <hyperlink xmlns:r="http://schemas.openxmlformats.org/officeDocument/2006/relationships" ref="C106" r:id="rId62"/>
    <hyperlink xmlns:r="http://schemas.openxmlformats.org/officeDocument/2006/relationships" ref="C107" r:id="rId63"/>
    <hyperlink xmlns:r="http://schemas.openxmlformats.org/officeDocument/2006/relationships" ref="C108" r:id="rId64"/>
    <hyperlink xmlns:r="http://schemas.openxmlformats.org/officeDocument/2006/relationships" ref="C109" r:id="rId65"/>
    <hyperlink xmlns:r="http://schemas.openxmlformats.org/officeDocument/2006/relationships" ref="C110" r:id="rId66"/>
    <hyperlink xmlns:r="http://schemas.openxmlformats.org/officeDocument/2006/relationships" ref="C111" r:id="rId67"/>
    <hyperlink xmlns:r="http://schemas.openxmlformats.org/officeDocument/2006/relationships" ref="C112" r:id="rId68"/>
    <hyperlink xmlns:r="http://schemas.openxmlformats.org/officeDocument/2006/relationships" ref="C113" r:id="rId69"/>
    <hyperlink xmlns:r="http://schemas.openxmlformats.org/officeDocument/2006/relationships" ref="C114" r:id="rId70"/>
    <hyperlink xmlns:r="http://schemas.openxmlformats.org/officeDocument/2006/relationships" ref="C115" r:id="rId71"/>
    <hyperlink xmlns:r="http://schemas.openxmlformats.org/officeDocument/2006/relationships" ref="C116" r:id="rId72"/>
    <hyperlink xmlns:r="http://schemas.openxmlformats.org/officeDocument/2006/relationships" ref="C117" r:id="rId73"/>
    <hyperlink xmlns:r="http://schemas.openxmlformats.org/officeDocument/2006/relationships" ref="C118" r:id="rId74"/>
    <hyperlink xmlns:r="http://schemas.openxmlformats.org/officeDocument/2006/relationships" ref="C119" r:id="rId75"/>
    <hyperlink xmlns:r="http://schemas.openxmlformats.org/officeDocument/2006/relationships" ref="C120" r:id="rId76"/>
    <hyperlink xmlns:r="http://schemas.openxmlformats.org/officeDocument/2006/relationships" ref="C121" r:id="rId77"/>
    <hyperlink xmlns:r="http://schemas.openxmlformats.org/officeDocument/2006/relationships" ref="C122" r:id="rId78"/>
    <hyperlink xmlns:r="http://schemas.openxmlformats.org/officeDocument/2006/relationships" ref="C123" r:id="rId79"/>
    <hyperlink xmlns:r="http://schemas.openxmlformats.org/officeDocument/2006/relationships" ref="C124" r:id="rId80"/>
    <hyperlink xmlns:r="http://schemas.openxmlformats.org/officeDocument/2006/relationships" ref="C125" r:id="rId81"/>
    <hyperlink xmlns:r="http://schemas.openxmlformats.org/officeDocument/2006/relationships" ref="C126" r:id="rId82"/>
    <hyperlink xmlns:r="http://schemas.openxmlformats.org/officeDocument/2006/relationships" ref="C127" r:id="rId83"/>
    <hyperlink xmlns:r="http://schemas.openxmlformats.org/officeDocument/2006/relationships" ref="C128" r:id="rId84"/>
    <hyperlink xmlns:r="http://schemas.openxmlformats.org/officeDocument/2006/relationships" ref="C129" r:id="rId85"/>
    <hyperlink xmlns:r="http://schemas.openxmlformats.org/officeDocument/2006/relationships" ref="C130" r:id="rId86"/>
    <hyperlink xmlns:r="http://schemas.openxmlformats.org/officeDocument/2006/relationships" ref="C131" r:id="rId87"/>
    <hyperlink xmlns:r="http://schemas.openxmlformats.org/officeDocument/2006/relationships" ref="C132" r:id="rId88"/>
    <hyperlink xmlns:r="http://schemas.openxmlformats.org/officeDocument/2006/relationships" ref="C133" r:id="rId89"/>
    <hyperlink xmlns:r="http://schemas.openxmlformats.org/officeDocument/2006/relationships" ref="C134" r:id="rId90"/>
    <hyperlink xmlns:r="http://schemas.openxmlformats.org/officeDocument/2006/relationships" ref="C135" r:id="rId91"/>
    <hyperlink xmlns:r="http://schemas.openxmlformats.org/officeDocument/2006/relationships" ref="C136" r:id="rId92"/>
    <hyperlink xmlns:r="http://schemas.openxmlformats.org/officeDocument/2006/relationships" ref="C137" r:id="rId93"/>
    <hyperlink xmlns:r="http://schemas.openxmlformats.org/officeDocument/2006/relationships" ref="C138" r:id="rId94"/>
    <hyperlink xmlns:r="http://schemas.openxmlformats.org/officeDocument/2006/relationships" ref="C139" r:id="rId95"/>
    <hyperlink xmlns:r="http://schemas.openxmlformats.org/officeDocument/2006/relationships" ref="C140" r:id="rId96"/>
    <hyperlink xmlns:r="http://schemas.openxmlformats.org/officeDocument/2006/relationships" ref="C141" r:id="rId97"/>
    <hyperlink xmlns:r="http://schemas.openxmlformats.org/officeDocument/2006/relationships" ref="C142" r:id="rId98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M5" sqref="M5"/>
    </sheetView>
  </sheetViews>
  <sheetFormatPr baseColWidth="8" defaultColWidth="14.44140625" defaultRowHeight="15" customHeight="1"/>
  <cols>
    <col width="16.5546875" customWidth="1" style="102" min="1" max="1"/>
    <col width="18.88671875" customWidth="1" style="102" min="2" max="2"/>
    <col width="15.88671875" customWidth="1" style="102" min="3" max="3"/>
    <col width="25.109375" customWidth="1" style="102" min="4" max="4"/>
    <col width="13.6640625" customWidth="1" style="102" min="5" max="5"/>
    <col width="8.6640625" customWidth="1" style="102" min="6" max="6"/>
    <col width="11.88671875" customWidth="1" style="102" min="7" max="7"/>
    <col width="10.88671875" customWidth="1" style="102" min="8" max="8"/>
    <col width="8.6640625" customWidth="1" style="102" min="9" max="14"/>
  </cols>
  <sheetData>
    <row r="1" ht="14.4" customHeight="1" s="102">
      <c r="A1" s="49" t="inlineStr">
        <is>
          <t>GOOGLE MAP - BRENTWOOD PARK</t>
        </is>
      </c>
    </row>
    <row r="2" ht="14.4" customHeight="1" s="102">
      <c r="A2" s="49" t="inlineStr">
        <is>
          <t>BC ASSESSMENT - BRENTWOOD PARK</t>
        </is>
      </c>
    </row>
    <row r="3" ht="14.4" customHeight="1" s="102">
      <c r="B3" s="49" t="n"/>
    </row>
    <row r="4" ht="14.4" customHeight="1" s="102">
      <c r="A4" s="44" t="inlineStr">
        <is>
          <t>Audit</t>
        </is>
      </c>
      <c r="B4" s="90" t="inlineStr">
        <is>
          <t>Expiration</t>
        </is>
      </c>
      <c r="C4" s="69" t="inlineStr">
        <is>
          <t>MLS#</t>
        </is>
      </c>
      <c r="D4" s="69" t="inlineStr">
        <is>
          <t>Address</t>
        </is>
      </c>
      <c r="E4" s="69" t="inlineStr">
        <is>
          <t>Price</t>
        </is>
      </c>
      <c r="F4" s="69" t="inlineStr">
        <is>
          <t>Name</t>
        </is>
      </c>
      <c r="G4" s="69" t="inlineStr">
        <is>
          <t>Occupancy</t>
        </is>
      </c>
      <c r="H4" s="70" t="inlineStr">
        <is>
          <t>Title</t>
        </is>
      </c>
      <c r="I4" s="101" t="inlineStr">
        <is>
          <t>Rating</t>
        </is>
      </c>
      <c r="J4" s="101" t="inlineStr">
        <is>
          <t>Flyer</t>
        </is>
      </c>
      <c r="K4" s="44" t="inlineStr">
        <is>
          <t>Contact</t>
        </is>
      </c>
      <c r="L4" s="44" t="inlineStr">
        <is>
          <t>Mobile</t>
        </is>
      </c>
      <c r="M4" s="44" t="inlineStr">
        <is>
          <t>Email</t>
        </is>
      </c>
      <c r="N4" s="44" t="inlineStr">
        <is>
          <t>Notes</t>
        </is>
      </c>
    </row>
    <row r="6" ht="15" customHeight="1" s="102">
      <c r="D6" s="19" t="inlineStr">
        <is>
          <t>4795 Westlawn Dr</t>
        </is>
      </c>
      <c r="F6" s="19" t="inlineStr">
        <is>
          <t xml:space="preserve">Ron </t>
        </is>
      </c>
      <c r="N6" s="19" t="inlineStr">
        <is>
          <t>door knocked</t>
        </is>
      </c>
    </row>
    <row r="15" ht="14.4" customHeight="1" s="102">
      <c r="A15" s="19" t="n"/>
      <c r="B15" s="19" t="n"/>
      <c r="C15" s="51" t="n"/>
      <c r="D15" s="18" t="n"/>
      <c r="E15" s="127" t="n"/>
      <c r="F15" s="34" t="n"/>
      <c r="G15" s="19" t="n"/>
      <c r="H15" s="21" t="n"/>
      <c r="I15" s="21" t="n"/>
      <c r="J15" s="21" t="n"/>
    </row>
    <row r="21" ht="15.75" customHeight="1" s="102"/>
    <row r="22" ht="15.75" customHeight="1" s="102"/>
    <row r="23" ht="15.75" customHeight="1" s="102"/>
    <row r="24" ht="15.75" customHeight="1" s="102"/>
    <row r="25" ht="15.75" customHeight="1" s="102"/>
    <row r="26" ht="15.75" customHeight="1" s="102"/>
    <row r="27" ht="15.75" customHeight="1" s="102"/>
    <row r="28" ht="15.75" customHeight="1" s="102"/>
    <row r="29" ht="15.75" customHeight="1" s="102"/>
    <row r="30" ht="15.75" customHeight="1" s="102"/>
    <row r="31" ht="15.75" customHeight="1" s="102"/>
    <row r="32" ht="15.75" customHeight="1" s="102"/>
    <row r="33" ht="15.75" customHeight="1" s="102"/>
    <row r="34" ht="15.75" customHeight="1" s="102"/>
    <row r="35" ht="15.75" customHeight="1" s="102"/>
    <row r="36" ht="15.75" customHeight="1" s="102"/>
    <row r="37" ht="15.75" customHeight="1" s="102"/>
    <row r="38" ht="15.75" customHeight="1" s="102"/>
    <row r="39" ht="15.75" customHeight="1" s="102"/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102" min="1" max="1"/>
    <col width="13.109375" customWidth="1" style="102" min="2" max="2"/>
    <col width="8.6640625" customWidth="1" style="102" min="3" max="3"/>
    <col width="27" customWidth="1" style="102" min="4" max="4"/>
    <col width="26.5546875" customWidth="1" style="102" min="5" max="5"/>
    <col width="20.88671875" customWidth="1" style="102" min="6" max="6"/>
    <col width="11.33203125" customWidth="1" style="102" min="7" max="7"/>
    <col width="41.33203125" customWidth="1" style="102" min="8" max="8"/>
    <col width="8.6640625" customWidth="1" style="102" min="9" max="26"/>
  </cols>
  <sheetData>
    <row r="1" ht="14.4" customHeight="1" s="102">
      <c r="A1" s="44" t="inlineStr">
        <is>
          <t>Audit</t>
        </is>
      </c>
      <c r="B1" s="90" t="inlineStr">
        <is>
          <t>Expiration</t>
        </is>
      </c>
      <c r="C1" s="69" t="inlineStr">
        <is>
          <t>MLS#</t>
        </is>
      </c>
      <c r="D1" s="69" t="inlineStr">
        <is>
          <t>Subject Property</t>
        </is>
      </c>
      <c r="E1" s="68" t="inlineStr">
        <is>
          <t>Address1</t>
        </is>
      </c>
      <c r="F1" s="70" t="inlineStr">
        <is>
          <t>Address2</t>
        </is>
      </c>
      <c r="G1" s="69" t="inlineStr">
        <is>
          <t>Price</t>
        </is>
      </c>
      <c r="H1" s="69" t="inlineStr">
        <is>
          <t>Name</t>
        </is>
      </c>
    </row>
    <row r="2" ht="14.4" customHeight="1" s="102">
      <c r="A2" s="19" t="inlineStr">
        <is>
          <t>DETACHED</t>
        </is>
      </c>
    </row>
    <row r="3" ht="14.4" customHeight="1" s="102">
      <c r="A3" s="19" t="inlineStr">
        <is>
          <t>03.23.25</t>
        </is>
      </c>
      <c r="B3" s="33" t="inlineStr">
        <is>
          <t>5/15/2023</t>
        </is>
      </c>
      <c r="C3" s="51" t="inlineStr">
        <is>
          <t>R2752689,</t>
        </is>
      </c>
      <c r="D3" s="33" t="inlineStr">
        <is>
          <t>1740 BETA AVENUE</t>
        </is>
      </c>
      <c r="E3" s="33" t="inlineStr">
        <is>
          <t>1740 BETA AVENUE</t>
        </is>
      </c>
      <c r="F3" s="19" t="inlineStr">
        <is>
          <t>BURNABY BC V5C 5M7</t>
        </is>
      </c>
      <c r="G3" s="115" t="n">
        <v>2799999</v>
      </c>
      <c r="H3" s="33" t="inlineStr">
        <is>
          <t>GI HOON YU | SOYON LEE | KANGHUN LEE</t>
        </is>
      </c>
    </row>
    <row r="4" ht="14.4" customHeight="1" s="102">
      <c r="A4" s="19" t="inlineStr">
        <is>
          <t>03.23.25</t>
        </is>
      </c>
      <c r="B4" s="33" t="inlineStr">
        <is>
          <t>9/1/2016</t>
        </is>
      </c>
      <c r="C4" s="51" t="inlineStr">
        <is>
          <t>R2099852,</t>
        </is>
      </c>
      <c r="D4" s="33" t="inlineStr">
        <is>
          <t>4508 BRENTLAWN DRIVE</t>
        </is>
      </c>
      <c r="E4" s="33" t="inlineStr">
        <is>
          <t>4508 BRENTLAWN DRIVE</t>
        </is>
      </c>
      <c r="F4" s="19" t="inlineStr">
        <is>
          <t>BURNABY BC V5C 3V1</t>
        </is>
      </c>
      <c r="G4" s="115" t="n">
        <v>1480000</v>
      </c>
      <c r="H4" s="19" t="inlineStr">
        <is>
          <t>Home Owner</t>
        </is>
      </c>
    </row>
    <row r="5" ht="15.75" customHeight="1" s="102">
      <c r="A5" s="19" t="inlineStr">
        <is>
          <t>03.23.25</t>
        </is>
      </c>
      <c r="B5" s="33" t="inlineStr">
        <is>
          <t>5/12/2022</t>
        </is>
      </c>
      <c r="C5" s="51" t="inlineStr">
        <is>
          <t>R2674452,</t>
        </is>
      </c>
      <c r="D5" s="33" t="inlineStr">
        <is>
          <t>1050 DELTA AVENUE</t>
        </is>
      </c>
      <c r="E5" s="33" t="inlineStr">
        <is>
          <t>1050 DELTA AVENUE</t>
        </is>
      </c>
      <c r="F5" s="19" t="inlineStr">
        <is>
          <t>BURNABY BC V5B 3G1</t>
        </is>
      </c>
      <c r="G5" s="115" t="n">
        <v>2398000</v>
      </c>
      <c r="H5" s="33" t="inlineStr">
        <is>
          <t>E. PAPALIA</t>
        </is>
      </c>
    </row>
    <row r="6" ht="14.4" customHeight="1" s="102">
      <c r="A6" s="19" t="inlineStr">
        <is>
          <t>03.23.25</t>
        </is>
      </c>
      <c r="B6" s="33" t="inlineStr">
        <is>
          <t>6/16/2018</t>
        </is>
      </c>
      <c r="C6" s="51" t="inlineStr">
        <is>
          <t>R2248669,</t>
        </is>
      </c>
      <c r="D6" s="33" t="inlineStr">
        <is>
          <t>1678 DELTA AVENUE</t>
        </is>
      </c>
      <c r="E6" s="33" t="inlineStr">
        <is>
          <t>1678 DELTA AVENUE</t>
        </is>
      </c>
      <c r="F6" s="19" t="inlineStr">
        <is>
          <t>BURNABY BC V5B 3G2</t>
        </is>
      </c>
      <c r="G6" s="115" t="n">
        <v>2380000</v>
      </c>
      <c r="H6" s="33" t="inlineStr">
        <is>
          <t>SHAKILA JEYACHANDRAN</t>
        </is>
      </c>
    </row>
    <row r="7" ht="15.75" customHeight="1" s="102">
      <c r="A7" s="19" t="inlineStr">
        <is>
          <t>03.23.25</t>
        </is>
      </c>
      <c r="B7" s="33" t="inlineStr">
        <is>
          <t>8/18/2021</t>
        </is>
      </c>
      <c r="C7" s="51" t="inlineStr">
        <is>
          <t>R2589225,</t>
        </is>
      </c>
      <c r="D7" s="33" t="inlineStr">
        <is>
          <t>4696 FAIRLAWN DRIVE</t>
        </is>
      </c>
      <c r="E7" s="33" t="inlineStr">
        <is>
          <t>4696 FAIRLAWN DRIVE</t>
        </is>
      </c>
      <c r="F7" s="19" t="inlineStr">
        <is>
          <t>BURNABY BC V5C 3R6</t>
        </is>
      </c>
      <c r="G7" s="115" t="n">
        <v>1749900</v>
      </c>
      <c r="H7" s="19" t="inlineStr">
        <is>
          <t>Home Owner</t>
        </is>
      </c>
    </row>
    <row r="8" ht="14.4" customHeight="1" s="102">
      <c r="A8" s="19" t="inlineStr">
        <is>
          <t>03.23.25</t>
        </is>
      </c>
      <c r="B8" s="33" t="inlineStr">
        <is>
          <t>11/14/2024</t>
        </is>
      </c>
      <c r="C8" s="51" t="inlineStr">
        <is>
          <t>R2911387,</t>
        </is>
      </c>
      <c r="D8" s="33" t="inlineStr">
        <is>
          <t>4824 FAIRLAWN DRIVE</t>
        </is>
      </c>
      <c r="E8" s="33" t="inlineStr">
        <is>
          <t>4824 FAIRLAWN DRIVE</t>
        </is>
      </c>
      <c r="F8" s="19" t="inlineStr">
        <is>
          <t>BURNABY BC V5C 3R8</t>
        </is>
      </c>
      <c r="G8" s="115" t="n">
        <v>2558000</v>
      </c>
      <c r="H8" s="33" t="inlineStr">
        <is>
          <t>PAI LIU</t>
        </is>
      </c>
    </row>
    <row r="9" ht="14.4" customHeight="1" s="102">
      <c r="A9" s="19" t="inlineStr">
        <is>
          <t>03.23.25</t>
        </is>
      </c>
      <c r="B9" s="33" t="inlineStr">
        <is>
          <t>10/31/2017</t>
        </is>
      </c>
      <c r="C9" s="51" t="inlineStr">
        <is>
          <t>R2193437,</t>
        </is>
      </c>
      <c r="D9" s="33" t="inlineStr">
        <is>
          <t>5173 HALIFAX STREET</t>
        </is>
      </c>
      <c r="E9" s="33" t="inlineStr">
        <is>
          <t>5173 HALIFAX STREET</t>
        </is>
      </c>
      <c r="F9" s="33" t="inlineStr">
        <is>
          <t>Burnaby, BC V5B 2N4</t>
        </is>
      </c>
      <c r="G9" s="115" t="n">
        <v>1799000</v>
      </c>
      <c r="H9" s="19" t="inlineStr">
        <is>
          <t>Home Owner</t>
        </is>
      </c>
    </row>
    <row r="10" ht="15" customHeight="1" s="102">
      <c r="A10" s="19" t="inlineStr">
        <is>
          <t>03.23.25</t>
        </is>
      </c>
      <c r="B10" s="33" t="inlineStr">
        <is>
          <t>12/31/2016</t>
        </is>
      </c>
      <c r="C10" s="51" t="inlineStr">
        <is>
          <t>R2062861,</t>
        </is>
      </c>
      <c r="D10" s="33" t="inlineStr">
        <is>
          <t>4631 HIGHLAWN DRIVE</t>
        </is>
      </c>
      <c r="E10" s="33" t="inlineStr">
        <is>
          <t>4631 HIGHLAWN DRIVE</t>
        </is>
      </c>
      <c r="F10" s="33" t="inlineStr">
        <is>
          <t>Burnaby, BC V5C 3S9</t>
        </is>
      </c>
      <c r="G10" s="115" t="n">
        <v>3888000</v>
      </c>
      <c r="H10" s="33" t="inlineStr">
        <is>
          <t>M. QUATRANO | V. HRELIA</t>
        </is>
      </c>
    </row>
    <row r="11" ht="14.4" customHeight="1" s="102">
      <c r="A11" s="19" t="inlineStr">
        <is>
          <t>03.23.25</t>
        </is>
      </c>
      <c r="B11" s="33" t="inlineStr">
        <is>
          <t>12/31/2023</t>
        </is>
      </c>
      <c r="C11" s="51" t="inlineStr">
        <is>
          <t>R2814721,</t>
        </is>
      </c>
      <c r="D11" s="33" t="inlineStr">
        <is>
          <t>4871 HIGHLAWN DRIVE</t>
        </is>
      </c>
      <c r="E11" s="33" t="inlineStr">
        <is>
          <t>4871 HIGHLAWN DRIVE</t>
        </is>
      </c>
      <c r="F11" s="19" t="inlineStr">
        <is>
          <t>BURNABY BC V5C 3T2</t>
        </is>
      </c>
      <c r="G11" s="115" t="n">
        <v>2288000</v>
      </c>
      <c r="H11" s="33" t="inlineStr">
        <is>
          <t>YANYING ZHOU | MEI PAN</t>
        </is>
      </c>
    </row>
    <row r="12" ht="14.4" customHeight="1" s="102">
      <c r="A12" s="19" t="inlineStr">
        <is>
          <t>03.23.25</t>
        </is>
      </c>
      <c r="B12" s="33" t="inlineStr">
        <is>
          <t>8/20/2024</t>
        </is>
      </c>
      <c r="C12" s="51" t="inlineStr">
        <is>
          <t>R2914527,</t>
        </is>
      </c>
      <c r="D12" s="33" t="inlineStr">
        <is>
          <t>4881 HIGHLAWN DRIVE</t>
        </is>
      </c>
      <c r="E12" s="33" t="inlineStr">
        <is>
          <t>4881 HIGHLAWN DRIVE</t>
        </is>
      </c>
      <c r="F12" s="19" t="inlineStr">
        <is>
          <t>BURNABY BC V5C 3T2</t>
        </is>
      </c>
      <c r="G12" s="115" t="n">
        <v>1950000</v>
      </c>
      <c r="H12" s="33" t="inlineStr">
        <is>
          <t>T.Lin | Y.Yang</t>
        </is>
      </c>
    </row>
    <row r="13" ht="15.75" customHeight="1" s="102">
      <c r="A13" s="19" t="inlineStr">
        <is>
          <t>03.23.25</t>
        </is>
      </c>
      <c r="B13" s="33" t="inlineStr">
        <is>
          <t>5/29/2022</t>
        </is>
      </c>
      <c r="C13" s="51" t="inlineStr">
        <is>
          <t>R2637059,</t>
        </is>
      </c>
      <c r="D13" s="33" t="inlineStr">
        <is>
          <t>4660 NORTHLAWN DRIVE</t>
        </is>
      </c>
      <c r="E13" s="33" t="inlineStr">
        <is>
          <t>4660 NORTHLAWN DRIVE</t>
        </is>
      </c>
      <c r="F13" s="19" t="inlineStr">
        <is>
          <t>BURNABY BC V5C 3S1</t>
        </is>
      </c>
      <c r="G13" s="115" t="n">
        <v>2188000</v>
      </c>
      <c r="H13" s="33" t="inlineStr">
        <is>
          <t>Shuming Wang | Weiwei Wang</t>
        </is>
      </c>
    </row>
    <row r="14" ht="15.75" customHeight="1" s="102">
      <c r="A14" s="19" t="inlineStr">
        <is>
          <t>03.23.25</t>
        </is>
      </c>
      <c r="B14" s="33" t="inlineStr">
        <is>
          <t>10/28/2021</t>
        </is>
      </c>
      <c r="C14" s="51" t="inlineStr">
        <is>
          <t>R2512957,</t>
        </is>
      </c>
      <c r="D14" s="33" t="inlineStr">
        <is>
          <t>4825 NORTHLAWN DRIVE</t>
        </is>
      </c>
      <c r="E14" s="33" t="inlineStr">
        <is>
          <t>4825 NORTHLAWN DRIVE</t>
        </is>
      </c>
      <c r="F14" s="19" t="inlineStr">
        <is>
          <t>BURNABY BC V5C 3S2</t>
        </is>
      </c>
      <c r="G14" s="115" t="n">
        <v>2800000</v>
      </c>
      <c r="H14" s="33" t="inlineStr">
        <is>
          <t>Trung Kiet Do</t>
        </is>
      </c>
    </row>
    <row r="15" ht="15.75" customHeight="1" s="102">
      <c r="A15" s="19" t="inlineStr">
        <is>
          <t>03.23.25</t>
        </is>
      </c>
      <c r="B15" s="33" t="inlineStr">
        <is>
          <t>9/7/2021</t>
        </is>
      </c>
      <c r="C15" s="51" t="inlineStr">
        <is>
          <t>R2608888,</t>
        </is>
      </c>
      <c r="D15" s="33" t="inlineStr">
        <is>
          <t>4532 PARKER STREET</t>
        </is>
      </c>
      <c r="E15" s="33" t="inlineStr">
        <is>
          <t>4532 PARKER STREET</t>
        </is>
      </c>
      <c r="F15" s="19" t="inlineStr">
        <is>
          <t>BURNABY BC V5C 3C9</t>
        </is>
      </c>
      <c r="G15" s="115" t="n">
        <v>1890000</v>
      </c>
      <c r="H15" s="19" t="inlineStr">
        <is>
          <t>Home Owner</t>
        </is>
      </c>
    </row>
    <row r="16" ht="15.75" customHeight="1" s="102">
      <c r="A16" s="19" t="inlineStr">
        <is>
          <t>03.23.25</t>
        </is>
      </c>
      <c r="B16" s="33" t="inlineStr">
        <is>
          <t>4/25/2022</t>
        </is>
      </c>
      <c r="C16" s="51" t="inlineStr">
        <is>
          <t>R2571778,</t>
        </is>
      </c>
      <c r="D16" s="33" t="inlineStr">
        <is>
          <t>4578 PARKER STREET</t>
        </is>
      </c>
      <c r="E16" s="33" t="inlineStr">
        <is>
          <t>4578 PARKER STREET</t>
        </is>
      </c>
      <c r="F16" s="19" t="inlineStr">
        <is>
          <t>BURNABY BC V5C 3C9</t>
        </is>
      </c>
      <c r="G16" s="115" t="n">
        <v>2499888</v>
      </c>
      <c r="H16" s="19" t="inlineStr">
        <is>
          <t>Home Owner</t>
        </is>
      </c>
    </row>
    <row r="17" ht="15.75" customHeight="1" s="102">
      <c r="A17" s="19" t="inlineStr">
        <is>
          <t>03.23.25</t>
        </is>
      </c>
      <c r="B17" s="33" t="inlineStr">
        <is>
          <t>10/7/2022</t>
        </is>
      </c>
      <c r="C17" s="51" t="inlineStr">
        <is>
          <t>R2708274,</t>
        </is>
      </c>
      <c r="D17" s="33" t="inlineStr">
        <is>
          <t>4764 PARKER STREET</t>
        </is>
      </c>
      <c r="E17" s="33" t="inlineStr">
        <is>
          <t>4764 PARKER STREET</t>
        </is>
      </c>
      <c r="F17" s="19" t="inlineStr">
        <is>
          <t>BURNABY BC V5C 3E3</t>
        </is>
      </c>
      <c r="G17" s="115" t="n">
        <v>2088000</v>
      </c>
      <c r="H17" s="19" t="inlineStr">
        <is>
          <t>Home Owner</t>
        </is>
      </c>
    </row>
    <row r="18" ht="14.4" customHeight="1" s="102">
      <c r="A18" s="19" t="inlineStr">
        <is>
          <t>03.23.25</t>
        </is>
      </c>
      <c r="B18" s="33" t="inlineStr">
        <is>
          <t>12/30/2018</t>
        </is>
      </c>
      <c r="C18" s="51" t="inlineStr">
        <is>
          <t>R2264729,</t>
        </is>
      </c>
      <c r="D18" s="33" t="inlineStr">
        <is>
          <t>4915 PARKER STREET</t>
        </is>
      </c>
      <c r="E18" s="33" t="inlineStr">
        <is>
          <t>4915 PARKER STREET</t>
        </is>
      </c>
      <c r="F18" s="19" t="inlineStr">
        <is>
          <t>BURNABY BC V5B 1Z5</t>
        </is>
      </c>
      <c r="G18" s="115" t="n">
        <v>1648800</v>
      </c>
      <c r="H18" s="19" t="inlineStr">
        <is>
          <t>Home Owner</t>
        </is>
      </c>
    </row>
    <row r="19" ht="14.4" customHeight="1" s="102">
      <c r="A19" s="19" t="inlineStr">
        <is>
          <t>03.23.25</t>
        </is>
      </c>
      <c r="B19" s="33" t="inlineStr">
        <is>
          <t>3/31/2019</t>
        </is>
      </c>
      <c r="C19" s="51" t="inlineStr">
        <is>
          <t>R2310986,</t>
        </is>
      </c>
      <c r="D19" s="33" t="inlineStr">
        <is>
          <t>5190 PARKER STREET</t>
        </is>
      </c>
      <c r="E19" s="33" t="inlineStr">
        <is>
          <t>5190 PARKER STREET</t>
        </is>
      </c>
      <c r="F19" s="19" t="inlineStr">
        <is>
          <t>BURNABY BC V5B 1Z6</t>
        </is>
      </c>
      <c r="G19" s="115" t="n">
        <v>1399000</v>
      </c>
      <c r="H19" s="19" t="inlineStr">
        <is>
          <t>Home Owner</t>
        </is>
      </c>
    </row>
    <row r="20" ht="15" customHeight="1" s="102">
      <c r="A20" s="19" t="inlineStr">
        <is>
          <t>03.23.25</t>
        </is>
      </c>
      <c r="B20" s="33" t="inlineStr">
        <is>
          <t>8/31/2016</t>
        </is>
      </c>
      <c r="C20" s="51" t="inlineStr">
        <is>
          <t>R2055175,</t>
        </is>
      </c>
      <c r="D20" s="33" t="inlineStr">
        <is>
          <t>4701 RIDGELAWN DRIVE</t>
        </is>
      </c>
      <c r="E20" s="33" t="inlineStr">
        <is>
          <t>4701 RIDGELAWN DRIVE</t>
        </is>
      </c>
      <c r="F20" s="33" t="inlineStr">
        <is>
          <t>Burnaby, BC V5C 3Y1</t>
        </is>
      </c>
      <c r="G20" s="115" t="n">
        <v>1880000</v>
      </c>
      <c r="H20" s="33" t="inlineStr">
        <is>
          <t>A &amp; N CARNOVALE</t>
        </is>
      </c>
    </row>
    <row r="21" ht="15.75" customHeight="1" s="102">
      <c r="A21" s="19" t="inlineStr">
        <is>
          <t>03.23.25</t>
        </is>
      </c>
      <c r="B21" s="33" t="inlineStr">
        <is>
          <t>12/14/2017</t>
        </is>
      </c>
      <c r="C21" s="51" t="inlineStr">
        <is>
          <t>R2178230,</t>
        </is>
      </c>
      <c r="D21" s="33" t="inlineStr">
        <is>
          <t>4801 RIDGELAWN DRIVE</t>
        </is>
      </c>
      <c r="E21" s="33" t="inlineStr">
        <is>
          <t>4801 RIDGELAWN DRIVE</t>
        </is>
      </c>
      <c r="F21" s="19" t="inlineStr">
        <is>
          <t>BURNABY BC V5C 3Y1</t>
        </is>
      </c>
      <c r="G21" s="115" t="n">
        <v>2488000</v>
      </c>
      <c r="H21" s="33" t="inlineStr">
        <is>
          <t>PATCHARA SRIKITKUL</t>
        </is>
      </c>
    </row>
    <row r="22" ht="15.75" customHeight="1" s="102">
      <c r="A22" s="19" t="inlineStr">
        <is>
          <t>03.23.25</t>
        </is>
      </c>
      <c r="B22" s="33" t="inlineStr">
        <is>
          <t>5/30/2016</t>
        </is>
      </c>
      <c r="C22" s="51" t="inlineStr">
        <is>
          <t>R2035899,</t>
        </is>
      </c>
      <c r="D22" s="33" t="inlineStr">
        <is>
          <t>1333 SPRINGER AVENUE</t>
        </is>
      </c>
      <c r="E22" s="33" t="inlineStr">
        <is>
          <t>1333 SPRINGER AVENUE</t>
        </is>
      </c>
      <c r="F22" s="33" t="inlineStr">
        <is>
          <t>Burnaby, BC V5B 3M2</t>
        </is>
      </c>
      <c r="G22" s="115" t="n">
        <v>1588000</v>
      </c>
      <c r="H22" s="33" t="inlineStr">
        <is>
          <t>M. MOTEVASELAN</t>
        </is>
      </c>
    </row>
    <row r="23" ht="15.75" customHeight="1" s="102">
      <c r="A23" s="19" t="inlineStr">
        <is>
          <t>03.23.25</t>
        </is>
      </c>
      <c r="B23" s="33" t="inlineStr">
        <is>
          <t>2/18/2020</t>
        </is>
      </c>
      <c r="C23" s="51" t="inlineStr">
        <is>
          <t>R2397711,</t>
        </is>
      </c>
      <c r="D23" s="33" t="inlineStr">
        <is>
          <t>5030 UNION STREET</t>
        </is>
      </c>
      <c r="E23" s="33" t="inlineStr">
        <is>
          <t>5030 UNION STREET</t>
        </is>
      </c>
      <c r="F23" s="33" t="inlineStr">
        <is>
          <t>Burnaby, BC V5B 1W2</t>
        </is>
      </c>
      <c r="G23" s="115" t="n">
        <v>1880000</v>
      </c>
      <c r="H23" s="33" t="inlineStr">
        <is>
          <t>Home Owner</t>
        </is>
      </c>
    </row>
    <row r="24" ht="15.75" customHeight="1" s="102">
      <c r="A24" s="19" t="inlineStr">
        <is>
          <t>03.23.25</t>
        </is>
      </c>
      <c r="B24" s="33" t="inlineStr">
        <is>
          <t>6/30/2021</t>
        </is>
      </c>
      <c r="C24" s="51" t="inlineStr">
        <is>
          <t>R2548421,</t>
        </is>
      </c>
      <c r="D24" s="33" t="inlineStr">
        <is>
          <t>4856 VENABLES STREET</t>
        </is>
      </c>
      <c r="E24" s="33" t="inlineStr">
        <is>
          <t>4856 VENABLES STREET</t>
        </is>
      </c>
      <c r="F24" s="19" t="inlineStr">
        <is>
          <t>BURNABY BC V5C 3A8</t>
        </is>
      </c>
      <c r="G24" s="115" t="n">
        <v>2880000</v>
      </c>
      <c r="H24" s="19" t="inlineStr">
        <is>
          <t>Home Owner</t>
        </is>
      </c>
    </row>
    <row r="25" ht="15.75" customHeight="1" s="102">
      <c r="A25" s="19" t="inlineStr">
        <is>
          <t>03.23.25</t>
        </is>
      </c>
      <c r="B25" s="33" t="inlineStr">
        <is>
          <t>12/31/2023</t>
        </is>
      </c>
      <c r="C25" s="51" t="inlineStr">
        <is>
          <t>R2800937,</t>
        </is>
      </c>
      <c r="D25" s="33" t="inlineStr">
        <is>
          <t>4921 VENABLES STREET</t>
        </is>
      </c>
      <c r="E25" s="33" t="inlineStr">
        <is>
          <t>4921 VENABLES STREET</t>
        </is>
      </c>
      <c r="F25" s="19" t="inlineStr">
        <is>
          <t>BURNABY BC V5B 1X8</t>
        </is>
      </c>
      <c r="G25" s="115" t="n">
        <v>3988000</v>
      </c>
      <c r="H25" s="19" t="inlineStr">
        <is>
          <t>Home Owner</t>
        </is>
      </c>
    </row>
    <row r="26" ht="15.75" customHeight="1" s="102"/>
    <row r="27" ht="15.75" customHeight="1" s="102"/>
    <row r="28" ht="15.75" customHeight="1" s="102"/>
    <row r="29" ht="15.75" customHeight="1" s="102">
      <c r="A29" s="19" t="inlineStr">
        <is>
          <t>ATTACHED</t>
        </is>
      </c>
    </row>
    <row r="30" ht="15.75" customHeight="1" s="102">
      <c r="A30" s="19" t="inlineStr">
        <is>
          <t>4.2.25</t>
        </is>
      </c>
      <c r="B30" s="19" t="inlineStr">
        <is>
          <t>12.26.24</t>
        </is>
      </c>
      <c r="C30" s="51" t="inlineStr">
        <is>
          <t>R2899247,</t>
        </is>
      </c>
      <c r="D30" s="33" t="inlineStr">
        <is>
          <t>309 4768 BRENTWOOD DRIVE</t>
        </is>
      </c>
      <c r="E30" s="33" t="inlineStr">
        <is>
          <t>309 4768 BRENTWOOD DRIVE</t>
        </is>
      </c>
      <c r="F30" s="19" t="inlineStr">
        <is>
          <t>BURNABY BC V5C 0C7</t>
        </is>
      </c>
      <c r="G30" s="115" t="n">
        <v>729900</v>
      </c>
      <c r="H30" s="33" t="inlineStr">
        <is>
          <t>CUI YAN MA | ZHUO WEN ZHOU</t>
        </is>
      </c>
      <c r="I30" s="19" t="inlineStr">
        <is>
          <t>T</t>
        </is>
      </c>
      <c r="J30" s="19" t="inlineStr">
        <is>
          <t>Y</t>
        </is>
      </c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102">
      <c r="A31" s="19" t="inlineStr">
        <is>
          <t>4.2.25</t>
        </is>
      </c>
      <c r="B31" s="19" t="inlineStr">
        <is>
          <t>02.19.25</t>
        </is>
      </c>
      <c r="C31" s="51" t="inlineStr">
        <is>
          <t>R2916804,</t>
        </is>
      </c>
      <c r="D31" s="33" t="inlineStr">
        <is>
          <t>201 4788 BRENTWOOD DRIVE</t>
        </is>
      </c>
      <c r="E31" s="33" t="inlineStr">
        <is>
          <t>201 4788 BRENTWOOD DRIVE</t>
        </is>
      </c>
      <c r="F31" s="19" t="inlineStr">
        <is>
          <t>BURNABY BC V5C 0C5</t>
        </is>
      </c>
      <c r="G31" s="115" t="n">
        <v>729000</v>
      </c>
      <c r="H31" s="33" t="inlineStr">
        <is>
          <t>TRAN MY THI TRAN</t>
        </is>
      </c>
      <c r="I31" s="19" t="inlineStr">
        <is>
          <t>O</t>
        </is>
      </c>
      <c r="J31" s="19" t="inlineStr">
        <is>
          <t>Y</t>
        </is>
      </c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102">
      <c r="A32" s="76" t="inlineStr">
        <is>
          <t>4.2.25</t>
        </is>
      </c>
      <c r="B32" s="76" t="inlineStr">
        <is>
          <t>02.12.25</t>
        </is>
      </c>
      <c r="C32" s="74" t="inlineStr">
        <is>
          <t>R2849630,</t>
        </is>
      </c>
      <c r="D32" s="75" t="inlineStr">
        <is>
          <t>2802 4400 BUCHANAN STREET</t>
        </is>
      </c>
      <c r="E32" s="75" t="inlineStr">
        <is>
          <t>2802 4400 BUCHANAN STREET</t>
        </is>
      </c>
      <c r="F32" s="76" t="inlineStr">
        <is>
          <t>BURNABY BC V5C 0E3</t>
        </is>
      </c>
      <c r="G32" s="128" t="n">
        <v>1880000</v>
      </c>
      <c r="H32" s="76" t="inlineStr">
        <is>
          <t>HO SUEN | MEI YUN QIAN</t>
        </is>
      </c>
      <c r="I32" s="76" t="inlineStr">
        <is>
          <t>T</t>
        </is>
      </c>
      <c r="J32" s="76" t="inlineStr">
        <is>
          <t>Y</t>
        </is>
      </c>
      <c r="K32" s="76" t="inlineStr">
        <is>
          <t>3BR</t>
        </is>
      </c>
      <c r="L32" s="76" t="n"/>
      <c r="M32" s="76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102">
      <c r="A33" s="19" t="inlineStr">
        <is>
          <t>4.2.25</t>
        </is>
      </c>
      <c r="B33" s="19" t="inlineStr">
        <is>
          <t>03.31.25</t>
        </is>
      </c>
      <c r="C33" s="51" t="inlineStr">
        <is>
          <t>R2918409,</t>
        </is>
      </c>
      <c r="D33" s="33" t="inlineStr">
        <is>
          <t>2003 4250 DAWSON STREET</t>
        </is>
      </c>
      <c r="E33" s="33" t="inlineStr">
        <is>
          <t>2003 4250 DAWSON STREET</t>
        </is>
      </c>
      <c r="F33" s="19" t="inlineStr">
        <is>
          <t>BURNABY, BC V5C 4B1</t>
        </is>
      </c>
      <c r="G33" s="115" t="n">
        <v>798000</v>
      </c>
      <c r="H33" s="19" t="inlineStr">
        <is>
          <t>SHAHRAM FASIHY</t>
        </is>
      </c>
      <c r="I33" s="19" t="inlineStr">
        <is>
          <t>O</t>
        </is>
      </c>
      <c r="J33" s="19" t="inlineStr">
        <is>
          <t>Y</t>
        </is>
      </c>
      <c r="K33" s="19" t="n"/>
      <c r="L33" s="19" t="n"/>
      <c r="M33" s="19" t="inlineStr">
        <is>
          <t>04.02.25</t>
        </is>
      </c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102">
      <c r="A34" s="19" t="inlineStr">
        <is>
          <t>4.2.25</t>
        </is>
      </c>
      <c r="B34" s="19" t="inlineStr">
        <is>
          <t>02.20.25</t>
        </is>
      </c>
      <c r="C34" s="51" t="inlineStr">
        <is>
          <t>R2851939,</t>
        </is>
      </c>
      <c r="D34" s="33" t="inlineStr">
        <is>
          <t>2802 2133 DOUGLAS ROAD</t>
        </is>
      </c>
      <c r="E34" s="33" t="inlineStr">
        <is>
          <t>2802 2133 DOUGLAS ROAD</t>
        </is>
      </c>
      <c r="F34" s="19" t="inlineStr">
        <is>
          <t>BURNABY BC V5C 0E9</t>
        </is>
      </c>
      <c r="G34" s="115" t="n">
        <v>938000</v>
      </c>
      <c r="H34" s="33" t="inlineStr">
        <is>
          <t>CHEN, JU</t>
        </is>
      </c>
      <c r="I34" s="19" t="inlineStr">
        <is>
          <t>T</t>
        </is>
      </c>
      <c r="J34" s="19" t="inlineStr">
        <is>
          <t>Y</t>
        </is>
      </c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102">
      <c r="A35" s="19" t="inlineStr">
        <is>
          <t>4.2.25</t>
        </is>
      </c>
      <c r="B35" s="19" t="inlineStr">
        <is>
          <t>01.03.25</t>
        </is>
      </c>
      <c r="C35" s="51" t="inlineStr">
        <is>
          <t>R2945361,</t>
        </is>
      </c>
      <c r="D35" s="33" t="inlineStr">
        <is>
          <t>405 1728 GILMORE AVENUE</t>
        </is>
      </c>
      <c r="E35" s="33" t="inlineStr">
        <is>
          <t>405 1728 GILMORE AVENUE</t>
        </is>
      </c>
      <c r="F35" s="19" t="inlineStr">
        <is>
          <t>BURNABY, BC V5C 0L3</t>
        </is>
      </c>
      <c r="G35" s="115" t="n">
        <v>848800</v>
      </c>
      <c r="H35" s="33" t="inlineStr">
        <is>
          <t>PARMJIT SAGGU &amp; VIKRAM SAGGU &amp; JASBINDER PANESAR</t>
        </is>
      </c>
      <c r="I35" s="19" t="inlineStr">
        <is>
          <t>O</t>
        </is>
      </c>
      <c r="J35" s="19" t="inlineStr">
        <is>
          <t>Y</t>
        </is>
      </c>
      <c r="K35" s="19" t="inlineStr">
        <is>
          <t>CP</t>
        </is>
      </c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102">
      <c r="A36" s="19" t="inlineStr">
        <is>
          <t>4.2.25</t>
        </is>
      </c>
      <c r="B36" s="19" t="inlineStr">
        <is>
          <t>12.31.24</t>
        </is>
      </c>
      <c r="C36" s="51" t="inlineStr">
        <is>
          <t>R2912174,</t>
        </is>
      </c>
      <c r="D36" s="33" t="inlineStr">
        <is>
          <t>1505 2186 GILMORE AVENUE</t>
        </is>
      </c>
      <c r="E36" s="19" t="inlineStr">
        <is>
          <t>5339 MONARCH STREET</t>
        </is>
      </c>
      <c r="F36" s="19" t="inlineStr">
        <is>
          <t>BURNABY, BC V5G 1Z9</t>
        </is>
      </c>
      <c r="G36" s="115" t="n">
        <v>1068000</v>
      </c>
      <c r="H36" s="19" t="inlineStr">
        <is>
          <t>KUN HO KU</t>
        </is>
      </c>
      <c r="I36" s="19" t="inlineStr">
        <is>
          <t>V</t>
        </is>
      </c>
      <c r="J36" s="19" t="inlineStr">
        <is>
          <t>Y</t>
        </is>
      </c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102">
      <c r="A37" s="19" t="inlineStr">
        <is>
          <t>4.2.25</t>
        </is>
      </c>
      <c r="B37" s="19" t="inlineStr">
        <is>
          <t>12.31.24</t>
        </is>
      </c>
      <c r="C37" s="51" t="inlineStr">
        <is>
          <t>R2914218,</t>
        </is>
      </c>
      <c r="D37" s="33" t="inlineStr">
        <is>
          <t>2608 2186 GILMORE AVENUE</t>
        </is>
      </c>
      <c r="E37" s="33" t="inlineStr">
        <is>
          <t>2608 2186 GILMORE AVENUE</t>
        </is>
      </c>
      <c r="F37" s="33" t="inlineStr">
        <is>
          <t>Burnaby, BC V5C 0N7</t>
        </is>
      </c>
      <c r="G37" s="115" t="n">
        <v>1050000</v>
      </c>
      <c r="H37" s="33" t="inlineStr">
        <is>
          <t>Home Owner</t>
        </is>
      </c>
      <c r="I37" s="19" t="inlineStr">
        <is>
          <t>V</t>
        </is>
      </c>
      <c r="J37" s="19" t="inlineStr">
        <is>
          <t>N</t>
        </is>
      </c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102">
      <c r="A38" s="19" t="inlineStr">
        <is>
          <t>4.2.25</t>
        </is>
      </c>
      <c r="B38" s="19" t="inlineStr">
        <is>
          <t>01.31.25</t>
        </is>
      </c>
      <c r="C38" s="51" t="inlineStr">
        <is>
          <t>R2908605,</t>
        </is>
      </c>
      <c r="D38" s="33" t="inlineStr">
        <is>
          <t>4507 2186 GILMORE AVENUE</t>
        </is>
      </c>
      <c r="E38" s="19" t="inlineStr">
        <is>
          <t>2003 4250 DAWSON ST</t>
        </is>
      </c>
      <c r="F38" s="19" t="inlineStr">
        <is>
          <t>BURNABY, BC V5C 4B1</t>
        </is>
      </c>
      <c r="G38" s="115" t="n">
        <v>1278000</v>
      </c>
      <c r="H38" s="19" t="inlineStr">
        <is>
          <t>SHAHRAM FASIHY</t>
        </is>
      </c>
      <c r="I38" s="19" t="inlineStr">
        <is>
          <t>O</t>
        </is>
      </c>
      <c r="J38" s="19" t="inlineStr">
        <is>
          <t>Y</t>
        </is>
      </c>
      <c r="K38" s="19" t="inlineStr">
        <is>
          <t>OTHER RESIDENCE LISTED 03.31.25 expiration</t>
        </is>
      </c>
      <c r="L38" s="19" t="n"/>
      <c r="M38" s="19" t="inlineStr">
        <is>
          <t>04.02.25</t>
        </is>
      </c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102">
      <c r="A39" s="19" t="inlineStr">
        <is>
          <t>4.2.25</t>
        </is>
      </c>
      <c r="B39" s="19" t="inlineStr">
        <is>
          <t>01.31.25</t>
        </is>
      </c>
      <c r="C39" s="51" t="inlineStr">
        <is>
          <t>R2908621,</t>
        </is>
      </c>
      <c r="D39" s="33" t="inlineStr">
        <is>
          <t>4607 2186 GILMORE AVENUE</t>
        </is>
      </c>
      <c r="E39" s="19" t="inlineStr">
        <is>
          <t>2003 4250 DAWSON ST</t>
        </is>
      </c>
      <c r="F39" s="19" t="inlineStr">
        <is>
          <t>BURNABY, BC V5C 4B1</t>
        </is>
      </c>
      <c r="G39" s="115" t="n">
        <v>1288000</v>
      </c>
      <c r="H39" s="19" t="inlineStr">
        <is>
          <t>SHAHRAM FASIHY</t>
        </is>
      </c>
      <c r="I39" s="19" t="inlineStr">
        <is>
          <t>O</t>
        </is>
      </c>
      <c r="J39" s="19" t="inlineStr">
        <is>
          <t>Y</t>
        </is>
      </c>
      <c r="K39" s="19" t="inlineStr">
        <is>
          <t>OTHER RESIDENCE LISTED 03.31.25 expiration</t>
        </is>
      </c>
      <c r="L39" s="19" t="n"/>
      <c r="M39" s="19" t="inlineStr">
        <is>
          <t>04.02.25</t>
        </is>
      </c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102">
      <c r="A40" s="19" t="inlineStr">
        <is>
          <t>4.2.25</t>
        </is>
      </c>
      <c r="B40" s="19" t="inlineStr">
        <is>
          <t>02.26.25</t>
        </is>
      </c>
      <c r="C40" s="51" t="inlineStr">
        <is>
          <t>R2918659,</t>
        </is>
      </c>
      <c r="D40" s="33" t="inlineStr">
        <is>
          <t>4709 2186 GILMORE AVENUE</t>
        </is>
      </c>
      <c r="E40" s="19" t="inlineStr">
        <is>
          <t>701-8260 162A STREET</t>
        </is>
      </c>
      <c r="F40" s="19" t="inlineStr">
        <is>
          <t>SURREY, BC V4N 0P6</t>
        </is>
      </c>
      <c r="G40" s="115" t="n">
        <v>899000</v>
      </c>
      <c r="H40" s="19" t="inlineStr">
        <is>
          <t>IZAK HALIGVA</t>
        </is>
      </c>
      <c r="I40" s="19" t="inlineStr">
        <is>
          <t>V</t>
        </is>
      </c>
      <c r="J40" s="19" t="inlineStr">
        <is>
          <t>Y</t>
        </is>
      </c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102">
      <c r="A41" s="19" t="inlineStr">
        <is>
          <t>4.2.25</t>
        </is>
      </c>
      <c r="B41" s="19" t="inlineStr">
        <is>
          <t>12.31.24</t>
        </is>
      </c>
      <c r="C41" s="51" t="inlineStr">
        <is>
          <t>R2898031,</t>
        </is>
      </c>
      <c r="D41" s="33" t="inlineStr">
        <is>
          <t>2301 5311 GORING STREET</t>
        </is>
      </c>
      <c r="E41" s="33" t="inlineStr">
        <is>
          <t>2301 5311 GORING STREET</t>
        </is>
      </c>
      <c r="F41" s="33" t="inlineStr">
        <is>
          <t>Burnaby, BC V5B 0B5</t>
        </is>
      </c>
      <c r="G41" s="115" t="n">
        <v>1499900</v>
      </c>
      <c r="H41" s="78" t="inlineStr">
        <is>
          <t>MOHAMMAD ANSAR</t>
        </is>
      </c>
      <c r="I41" s="19" t="inlineStr">
        <is>
          <t>O</t>
        </is>
      </c>
      <c r="J41" s="19" t="inlineStr">
        <is>
          <t>Y</t>
        </is>
      </c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102">
      <c r="A42" s="19" t="inlineStr">
        <is>
          <t>4.2.25</t>
        </is>
      </c>
      <c r="B42" s="19" t="inlineStr">
        <is>
          <t>03.01.25</t>
        </is>
      </c>
      <c r="C42" s="51" t="inlineStr">
        <is>
          <t>R2944836,</t>
        </is>
      </c>
      <c r="D42" s="33" t="inlineStr">
        <is>
          <t>1204 2225 HOLDOM AVENUE</t>
        </is>
      </c>
      <c r="E42" s="33" t="inlineStr">
        <is>
          <t>1204 2225 HOLDOM AVENUE</t>
        </is>
      </c>
      <c r="F42" s="33" t="inlineStr">
        <is>
          <t>Burnaby, BC V5B 0A1</t>
        </is>
      </c>
      <c r="G42" s="115" t="n">
        <v>879900</v>
      </c>
      <c r="H42" s="19" t="inlineStr">
        <is>
          <t>ALIREZA RABIEE</t>
        </is>
      </c>
      <c r="I42" s="19" t="inlineStr">
        <is>
          <t>V</t>
        </is>
      </c>
      <c r="J42" s="19" t="inlineStr">
        <is>
          <t>Y</t>
        </is>
      </c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102">
      <c r="A43" s="19" t="inlineStr">
        <is>
          <t>4.2.25</t>
        </is>
      </c>
      <c r="B43" s="19" t="inlineStr">
        <is>
          <t>03.04.25</t>
        </is>
      </c>
      <c r="C43" s="51" t="inlineStr">
        <is>
          <t>R2944216,</t>
        </is>
      </c>
      <c r="D43" s="33" t="inlineStr">
        <is>
          <t>1308 4488 JUNEAU STREET</t>
        </is>
      </c>
      <c r="E43" s="33" t="inlineStr">
        <is>
          <t>1308 4488 JUNEAU STREET</t>
        </is>
      </c>
      <c r="F43" s="33" t="inlineStr">
        <is>
          <t>Burnaby, BC V5C 0M4</t>
        </is>
      </c>
      <c r="G43" s="115" t="n">
        <v>928000</v>
      </c>
      <c r="H43" s="19" t="inlineStr">
        <is>
          <t>PHILLIP ROY LUNDRIE | HUI XIN ZHONG</t>
        </is>
      </c>
      <c r="I43" s="19" t="inlineStr">
        <is>
          <t>O</t>
        </is>
      </c>
      <c r="J43" s="19" t="inlineStr">
        <is>
          <t>Y</t>
        </is>
      </c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102">
      <c r="A44" s="19" t="inlineStr">
        <is>
          <t>4.2.25</t>
        </is>
      </c>
      <c r="B44" s="19" t="inlineStr">
        <is>
          <t>01.27.25</t>
        </is>
      </c>
      <c r="C44" s="51" t="inlineStr">
        <is>
          <t>R2920074,</t>
        </is>
      </c>
      <c r="D44" s="33" t="inlineStr">
        <is>
          <t>701 4488 JUNEAU STREET</t>
        </is>
      </c>
      <c r="E44" s="33" t="inlineStr">
        <is>
          <t>701 4488 JUNEAU STREET</t>
        </is>
      </c>
      <c r="F44" s="19" t="inlineStr">
        <is>
          <t>BURNABY, BC V5C 0M4</t>
        </is>
      </c>
      <c r="G44" s="115" t="n">
        <v>949900</v>
      </c>
      <c r="H44" s="19" t="inlineStr">
        <is>
          <t>CARMELA DE BENEDETTO</t>
        </is>
      </c>
      <c r="I44" s="19" t="inlineStr">
        <is>
          <t>V</t>
        </is>
      </c>
      <c r="J44" s="19" t="inlineStr">
        <is>
          <t>Y</t>
        </is>
      </c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102">
      <c r="A45" s="19" t="inlineStr">
        <is>
          <t>4.2.25</t>
        </is>
      </c>
      <c r="B45" s="19" t="inlineStr">
        <is>
          <t>03.01.25</t>
        </is>
      </c>
      <c r="C45" s="51" t="inlineStr">
        <is>
          <t>R2949136,</t>
        </is>
      </c>
      <c r="D45" s="33" t="inlineStr">
        <is>
          <t>2107 4168 LOUGHEED HIGHWAY</t>
        </is>
      </c>
      <c r="E45" s="19" t="inlineStr">
        <is>
          <t>201 1280 RICHARDS ST</t>
        </is>
      </c>
      <c r="F45" s="19" t="inlineStr">
        <is>
          <t>VANCOUVER, BC V6B 1S2</t>
        </is>
      </c>
      <c r="G45" s="115" t="n">
        <v>990000</v>
      </c>
      <c r="H45" s="19" t="inlineStr">
        <is>
          <t>BRUC LEONARD HOBSON | VICTORIA CAROLINA OSORIO SANCHEZ</t>
        </is>
      </c>
      <c r="I45" s="19" t="inlineStr">
        <is>
          <t>V</t>
        </is>
      </c>
      <c r="J45" s="19" t="inlineStr">
        <is>
          <t>Y</t>
        </is>
      </c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102">
      <c r="A46" s="19" t="inlineStr">
        <is>
          <t>4.2.25</t>
        </is>
      </c>
      <c r="B46" s="19" t="inlineStr">
        <is>
          <t>01.22.25</t>
        </is>
      </c>
      <c r="C46" s="51" t="inlineStr">
        <is>
          <t>R2917054,</t>
        </is>
      </c>
      <c r="D46" s="33" t="inlineStr">
        <is>
          <t>2409 4880 LOUGHEED HIGHWAY</t>
        </is>
      </c>
      <c r="E46" s="19" t="inlineStr">
        <is>
          <t>3968 WEST 11th AVENUE</t>
        </is>
      </c>
      <c r="F46" s="33" t="inlineStr">
        <is>
          <t>VANCOUVER, BC V6R 2L2</t>
        </is>
      </c>
      <c r="G46" s="115" t="n">
        <v>893000</v>
      </c>
      <c r="H46" s="19" t="inlineStr">
        <is>
          <t>XI YU GUO</t>
        </is>
      </c>
      <c r="I46" s="19" t="inlineStr">
        <is>
          <t xml:space="preserve">V </t>
        </is>
      </c>
      <c r="J46" s="19" t="inlineStr">
        <is>
          <t>Y</t>
        </is>
      </c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102">
      <c r="A47" s="19" t="inlineStr">
        <is>
          <t>4.2.25</t>
        </is>
      </c>
      <c r="B47" s="19" t="inlineStr">
        <is>
          <t>12.31.24</t>
        </is>
      </c>
      <c r="C47" s="51" t="inlineStr">
        <is>
          <t>R2866736,</t>
        </is>
      </c>
      <c r="D47" s="33" t="inlineStr">
        <is>
          <t>3003 4880 LOUGHEED HIGHWAY</t>
        </is>
      </c>
      <c r="E47" s="33" t="inlineStr">
        <is>
          <t>3003 4880 LOUGHEED HIGHWAY</t>
        </is>
      </c>
      <c r="F47" s="33" t="inlineStr">
        <is>
          <t>Burnaby, BC V5C 0N1</t>
        </is>
      </c>
      <c r="G47" s="115" t="n">
        <v>988000</v>
      </c>
      <c r="H47" s="33" t="inlineStr">
        <is>
          <t>Home Owner</t>
        </is>
      </c>
      <c r="I47" s="19" t="inlineStr">
        <is>
          <t>V</t>
        </is>
      </c>
      <c r="J47" s="19" t="inlineStr">
        <is>
          <t>Y (developer)</t>
        </is>
      </c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102">
      <c r="A48" s="19" t="inlineStr">
        <is>
          <t>4.2.25</t>
        </is>
      </c>
      <c r="B48" s="19" t="inlineStr">
        <is>
          <t>12.31.24</t>
        </is>
      </c>
      <c r="C48" s="51" t="inlineStr">
        <is>
          <t>R2868864,</t>
        </is>
      </c>
      <c r="D48" s="33" t="inlineStr">
        <is>
          <t>4102 4880 LOUGHEED HIGHWAY</t>
        </is>
      </c>
      <c r="E48" s="33" t="inlineStr">
        <is>
          <t>4102 4880 LOUGHEED HIGHWAY</t>
        </is>
      </c>
      <c r="F48" s="33" t="inlineStr">
        <is>
          <t>Burnaby, BC V5C 0N1</t>
        </is>
      </c>
      <c r="G48" s="115" t="n">
        <v>999000</v>
      </c>
      <c r="H48" s="33" t="inlineStr">
        <is>
          <t>Home Owner</t>
        </is>
      </c>
      <c r="I48" s="19" t="inlineStr">
        <is>
          <t>V</t>
        </is>
      </c>
      <c r="J48" s="19" t="inlineStr">
        <is>
          <t>N</t>
        </is>
      </c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102">
      <c r="A49" s="19" t="inlineStr">
        <is>
          <t>4.2.25</t>
        </is>
      </c>
      <c r="B49" s="19" t="inlineStr">
        <is>
          <t>12.31.24</t>
        </is>
      </c>
      <c r="C49" s="51" t="inlineStr">
        <is>
          <t>R2866541,</t>
        </is>
      </c>
      <c r="D49" s="33" t="inlineStr">
        <is>
          <t>4202 4880 LOUGHEED HIGHWAY</t>
        </is>
      </c>
      <c r="E49" s="33" t="inlineStr">
        <is>
          <t>4202 4880 LOUGHEED HIGHWAY</t>
        </is>
      </c>
      <c r="F49" s="33" t="inlineStr">
        <is>
          <t>Burnaby, BC V5C 0N1</t>
        </is>
      </c>
      <c r="G49" s="115" t="n">
        <v>1048000</v>
      </c>
      <c r="H49" s="33" t="inlineStr">
        <is>
          <t>Home Owner</t>
        </is>
      </c>
      <c r="I49" s="19" t="inlineStr">
        <is>
          <t>V</t>
        </is>
      </c>
      <c r="J49" s="19" t="inlineStr">
        <is>
          <t>Y (developer)</t>
        </is>
      </c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102">
      <c r="A50" s="19" t="inlineStr">
        <is>
          <t>4.2.25</t>
        </is>
      </c>
      <c r="B50" s="19" t="inlineStr">
        <is>
          <t>12.31.24</t>
        </is>
      </c>
      <c r="C50" s="51" t="inlineStr">
        <is>
          <t>R2900969,</t>
        </is>
      </c>
      <c r="D50" s="33" t="inlineStr">
        <is>
          <t>3302 4890 LOUGHEED HIGHWAY</t>
        </is>
      </c>
      <c r="E50" s="19" t="inlineStr">
        <is>
          <t>3551 SHUSWAP AVENUE</t>
        </is>
      </c>
      <c r="F50" s="19" t="inlineStr">
        <is>
          <t>RICHMOND, BC V7E 2A9</t>
        </is>
      </c>
      <c r="G50" s="115" t="n">
        <v>1008000</v>
      </c>
      <c r="H50" s="19" t="inlineStr">
        <is>
          <t>CHI KEUNG CHENG</t>
        </is>
      </c>
      <c r="I50" s="19" t="inlineStr">
        <is>
          <t>V</t>
        </is>
      </c>
      <c r="J50" s="19" t="inlineStr">
        <is>
          <t>Y</t>
        </is>
      </c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102">
      <c r="A51" s="19" t="inlineStr">
        <is>
          <t>4.2.25</t>
        </is>
      </c>
      <c r="B51" s="19" t="inlineStr">
        <is>
          <t>12.31.24</t>
        </is>
      </c>
      <c r="C51" s="51" t="inlineStr">
        <is>
          <t>R2875051,</t>
        </is>
      </c>
      <c r="D51" s="33" t="inlineStr">
        <is>
          <t>3503 4890 LOUGHEED HIGHWAY</t>
        </is>
      </c>
      <c r="E51" s="19" t="inlineStr">
        <is>
          <t>3503 - 4890 LOUGHEED HIGHWAY</t>
        </is>
      </c>
      <c r="F51" s="19" t="inlineStr">
        <is>
          <t>BURNABY, BC V5C 0N2</t>
        </is>
      </c>
      <c r="G51" s="115" t="n">
        <v>1350000</v>
      </c>
      <c r="H51" s="19" t="inlineStr">
        <is>
          <t>YOU HUA HUANG</t>
        </is>
      </c>
      <c r="I51" s="19" t="inlineStr">
        <is>
          <t>V</t>
        </is>
      </c>
      <c r="J51" s="19" t="inlineStr">
        <is>
          <t>Y</t>
        </is>
      </c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102">
      <c r="A52" s="19" t="inlineStr">
        <is>
          <t>4.2.25</t>
        </is>
      </c>
      <c r="B52" s="19" t="inlineStr">
        <is>
          <t>12.31.24</t>
        </is>
      </c>
      <c r="C52" s="51" t="inlineStr">
        <is>
          <t>R2867661,</t>
        </is>
      </c>
      <c r="D52" s="33" t="inlineStr">
        <is>
          <t>3409 4880 LOUGHEED HIGHWAY</t>
        </is>
      </c>
      <c r="E52" s="19" t="inlineStr">
        <is>
          <t>7560 TWEEDSMUIR AVE</t>
        </is>
      </c>
      <c r="F52" s="19" t="inlineStr">
        <is>
          <t>RICHMOND, BC V7A 5G6</t>
        </is>
      </c>
      <c r="G52" s="115" t="n">
        <v>968000</v>
      </c>
      <c r="H52" s="19" t="inlineStr">
        <is>
          <t>HUI ZHEN CHEN</t>
        </is>
      </c>
      <c r="I52" s="19" t="inlineStr">
        <is>
          <t>V</t>
        </is>
      </c>
      <c r="J52" s="19" t="inlineStr">
        <is>
          <t>Y</t>
        </is>
      </c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102">
      <c r="A53" s="19" t="inlineStr">
        <is>
          <t>4.2.25</t>
        </is>
      </c>
      <c r="B53" s="19" t="inlineStr">
        <is>
          <t>01.03.25</t>
        </is>
      </c>
      <c r="C53" s="51" t="inlineStr">
        <is>
          <t>R2916789,</t>
        </is>
      </c>
      <c r="D53" s="33" t="inlineStr">
        <is>
          <t>3002 2181 MADISON AVENUE</t>
        </is>
      </c>
      <c r="E53" s="33" t="inlineStr">
        <is>
          <t>3002 2181 MADISON AVENUE</t>
        </is>
      </c>
      <c r="F53" s="19" t="inlineStr">
        <is>
          <t>BURNABY, BC V5C 0N4</t>
        </is>
      </c>
      <c r="G53" s="115" t="n">
        <v>989000</v>
      </c>
      <c r="H53" s="19" t="inlineStr">
        <is>
          <t>YANAN ZHA</t>
        </is>
      </c>
      <c r="I53" s="19" t="inlineStr">
        <is>
          <t>V</t>
        </is>
      </c>
      <c r="J53" s="19" t="inlineStr">
        <is>
          <t>Y</t>
        </is>
      </c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102">
      <c r="A54" s="19" t="inlineStr">
        <is>
          <t>4.2.25</t>
        </is>
      </c>
      <c r="B54" s="19" t="inlineStr">
        <is>
          <t>12.27.24</t>
        </is>
      </c>
      <c r="C54" s="51" t="inlineStr">
        <is>
          <t>R2913276,</t>
        </is>
      </c>
      <c r="D54" s="33" t="inlineStr">
        <is>
          <t>511 2188 MADISON AVENUE</t>
        </is>
      </c>
      <c r="E54" s="19" t="inlineStr">
        <is>
          <t>4135 GEORGIA STREET</t>
        </is>
      </c>
      <c r="F54" s="19" t="inlineStr">
        <is>
          <t>BURNABY, BC V5C 2T5</t>
        </is>
      </c>
      <c r="G54" s="115" t="n">
        <v>893888</v>
      </c>
      <c r="H54" s="19" t="inlineStr">
        <is>
          <t>RICK MANGAT | TINA MARIA CIACCIA MANGAT</t>
        </is>
      </c>
      <c r="I54" s="19" t="inlineStr">
        <is>
          <t>T</t>
        </is>
      </c>
      <c r="J54" s="19" t="inlineStr">
        <is>
          <t>Y</t>
        </is>
      </c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102">
      <c r="A55" s="19" t="inlineStr">
        <is>
          <t>4.2.25</t>
        </is>
      </c>
      <c r="B55" s="19" t="inlineStr">
        <is>
          <t>01.31.25</t>
        </is>
      </c>
      <c r="C55" s="51" t="inlineStr">
        <is>
          <t>R2940862,</t>
        </is>
      </c>
      <c r="D55" s="33" t="inlineStr">
        <is>
          <t>1901 2388 MADISON AVENUE</t>
        </is>
      </c>
      <c r="E55" s="19" t="inlineStr">
        <is>
          <t>8855 151 ST</t>
        </is>
      </c>
      <c r="F55" s="19" t="inlineStr">
        <is>
          <t>SURREY, BC V3R 6X5</t>
        </is>
      </c>
      <c r="G55" s="115" t="n">
        <v>939000</v>
      </c>
      <c r="H55" s="19" t="inlineStr">
        <is>
          <t>YANGYU LI</t>
        </is>
      </c>
      <c r="I55" s="19" t="inlineStr">
        <is>
          <t>T</t>
        </is>
      </c>
      <c r="J55" s="19" t="inlineStr">
        <is>
          <t>Y</t>
        </is>
      </c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102">
      <c r="A56" s="19" t="inlineStr">
        <is>
          <t>4.2.25</t>
        </is>
      </c>
      <c r="B56" s="19" t="inlineStr">
        <is>
          <t>02.18.25</t>
        </is>
      </c>
      <c r="C56" s="51" t="inlineStr">
        <is>
          <t>R2944995,</t>
        </is>
      </c>
      <c r="D56" s="33" t="inlineStr">
        <is>
          <t>1405 2085 SKYLINE COURT</t>
        </is>
      </c>
      <c r="E56" s="19" t="inlineStr">
        <is>
          <t>10208 170A STREET</t>
        </is>
      </c>
      <c r="F56" s="19" t="inlineStr">
        <is>
          <t>SURREY, BC V4N 4N6</t>
        </is>
      </c>
      <c r="G56" s="115" t="n">
        <v>998800</v>
      </c>
      <c r="H56" s="19" t="inlineStr">
        <is>
          <t>SHI HAI HUANG | XIAO GUANG CHI</t>
        </is>
      </c>
      <c r="I56" s="19" t="inlineStr">
        <is>
          <t>T</t>
        </is>
      </c>
      <c r="J56" s="19" t="inlineStr">
        <is>
          <t>Y</t>
        </is>
      </c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102">
      <c r="A57" s="19" t="inlineStr">
        <is>
          <t>4.2.25</t>
        </is>
      </c>
      <c r="B57" s="19" t="inlineStr">
        <is>
          <t>12.31.24</t>
        </is>
      </c>
      <c r="C57" s="51" t="inlineStr">
        <is>
          <t>R2916186,</t>
        </is>
      </c>
      <c r="D57" s="33" t="inlineStr">
        <is>
          <t>2704 2085 SKYLINE COURT</t>
        </is>
      </c>
      <c r="E57" s="33" t="inlineStr">
        <is>
          <t>2704 2085 SKYLINE COURT</t>
        </is>
      </c>
      <c r="F57" s="33" t="inlineStr">
        <is>
          <t>Burnaby, BC V5C 0M6</t>
        </is>
      </c>
      <c r="G57" s="115" t="n">
        <v>1156000</v>
      </c>
      <c r="H57" s="19" t="inlineStr">
        <is>
          <t>FENGYU CHEN</t>
        </is>
      </c>
      <c r="I57" s="19" t="inlineStr">
        <is>
          <t>TV</t>
        </is>
      </c>
      <c r="J57" s="19" t="inlineStr">
        <is>
          <t>Y</t>
        </is>
      </c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102">
      <c r="A58" s="19" t="inlineStr">
        <is>
          <t>4.2.25</t>
        </is>
      </c>
      <c r="B58" s="19" t="inlineStr">
        <is>
          <t>12.31.24</t>
        </is>
      </c>
      <c r="C58" s="51" t="inlineStr">
        <is>
          <t>R2899448,</t>
        </is>
      </c>
      <c r="D58" s="33" t="inlineStr">
        <is>
          <t>4604 4485 SKYLINE DRIVE</t>
        </is>
      </c>
      <c r="E58" s="33" t="inlineStr">
        <is>
          <t>4604 4485 SKYLINE DRIVE</t>
        </is>
      </c>
      <c r="F58" s="33" t="inlineStr">
        <is>
          <t>Burnaby, BC V5C 0J2</t>
        </is>
      </c>
      <c r="G58" s="129" t="n">
        <v>1038000</v>
      </c>
      <c r="H58" s="19" t="inlineStr">
        <is>
          <t>JASON JAEHO LEE</t>
        </is>
      </c>
      <c r="I58" s="19" t="inlineStr">
        <is>
          <t>O</t>
        </is>
      </c>
      <c r="J58" s="19" t="inlineStr">
        <is>
          <t>Y</t>
        </is>
      </c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2026-04-04T01:16:09Z</dcterms:modified>
  <cp:lastModifiedBy>Jeff</cp:lastModifiedBy>
</cp:coreProperties>
</file>